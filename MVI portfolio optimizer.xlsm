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filterPrivacy="1" codeName="ThisWorkbook" defaultThemeVersion="124226"/>
  <xr:revisionPtr revIDLastSave="0" documentId="13_ncr:1_{91AF2DD0-92A8-4D86-B7E2-965185E10FF7}" xr6:coauthVersionLast="47" xr6:coauthVersionMax="47" xr10:uidLastSave="{00000000-0000-0000-0000-000000000000}"/>
  <bookViews>
    <workbookView xWindow="-108" yWindow="-108" windowWidth="23256" windowHeight="12576" xr2:uid="{00000000-000D-0000-FFFF-FFFF00000000}"/>
  </bookViews>
  <sheets>
    <sheet name="Inputs" sheetId="1" r:id="rId1"/>
    <sheet name="Chart1" sheetId="4" state="hidden" r:id="rId2"/>
    <sheet name="backend" sheetId="2" state="hidden" r:id="rId3"/>
  </sheets>
  <definedNames>
    <definedName name="solver_adj" localSheetId="2" hidden="1">backend!#REF!</definedName>
    <definedName name="solver_adj" localSheetId="0" hidden="1">Inputs!$I$2:$I$9</definedName>
    <definedName name="solver_cvg" localSheetId="2" hidden="1">0.0001</definedName>
    <definedName name="solver_cvg" localSheetId="0" hidden="1">0.0001</definedName>
    <definedName name="solver_drv" localSheetId="2" hidden="1">2</definedName>
    <definedName name="solver_drv" localSheetId="0" hidden="1">2</definedName>
    <definedName name="solver_eng" localSheetId="2" hidden="1">1</definedName>
    <definedName name="solver_eng" localSheetId="0" hidden="1">1</definedName>
    <definedName name="solver_est" localSheetId="2" hidden="1">1</definedName>
    <definedName name="solver_est" localSheetId="0" hidden="1">1</definedName>
    <definedName name="solver_itr" localSheetId="2" hidden="1">2147483647</definedName>
    <definedName name="solver_itr" localSheetId="0" hidden="1">2147483647</definedName>
    <definedName name="solver_lhs1" localSheetId="2" hidden="1">backend!#REF!</definedName>
    <definedName name="solver_lhs1" localSheetId="0" hidden="1">Inputs!$B$19</definedName>
    <definedName name="solver_lhs10" localSheetId="2" hidden="1">backend!#REF!</definedName>
    <definedName name="solver_lhs11" localSheetId="2" hidden="1">backend!#REF!</definedName>
    <definedName name="solver_lhs2" localSheetId="2" hidden="1">backend!#REF!</definedName>
    <definedName name="solver_lhs2" localSheetId="0" hidden="1">Inputs!$I$2</definedName>
    <definedName name="solver_lhs3" localSheetId="2" hidden="1">backend!#REF!</definedName>
    <definedName name="solver_lhs3" localSheetId="0" hidden="1">Inputs!$I$3</definedName>
    <definedName name="solver_lhs4" localSheetId="2" hidden="1">backend!#REF!</definedName>
    <definedName name="solver_lhs4" localSheetId="0" hidden="1">Inputs!$I$4</definedName>
    <definedName name="solver_lhs5" localSheetId="2" hidden="1">backend!#REF!</definedName>
    <definedName name="solver_lhs5" localSheetId="0" hidden="1">Inputs!$I$5</definedName>
    <definedName name="solver_lhs6" localSheetId="2" hidden="1">backend!#REF!</definedName>
    <definedName name="solver_lhs6" localSheetId="0" hidden="1">Inputs!$I$6</definedName>
    <definedName name="solver_lhs7" localSheetId="2" hidden="1">backend!#REF!</definedName>
    <definedName name="solver_lhs7" localSheetId="0" hidden="1">Inputs!$I$7</definedName>
    <definedName name="solver_lhs8" localSheetId="2" hidden="1">backend!#REF!</definedName>
    <definedName name="solver_lhs8" localSheetId="0" hidden="1">Inputs!$I$8</definedName>
    <definedName name="solver_lhs9" localSheetId="2" hidden="1">backend!#REF!</definedName>
    <definedName name="solver_lhs9" localSheetId="0" hidden="1">Inputs!$I$9</definedName>
    <definedName name="solver_mip" localSheetId="2" hidden="1">2147483647</definedName>
    <definedName name="solver_mip" localSheetId="0" hidden="1">2147483647</definedName>
    <definedName name="solver_mni" localSheetId="2" hidden="1">30</definedName>
    <definedName name="solver_mni" localSheetId="0" hidden="1">30</definedName>
    <definedName name="solver_mrt" localSheetId="2" hidden="1">0.075</definedName>
    <definedName name="solver_mrt" localSheetId="0" hidden="1">0.075</definedName>
    <definedName name="solver_msl" localSheetId="2" hidden="1">2</definedName>
    <definedName name="solver_msl" localSheetId="0" hidden="1">2</definedName>
    <definedName name="solver_neg" localSheetId="2" hidden="1">1</definedName>
    <definedName name="solver_neg" localSheetId="0" hidden="1">1</definedName>
    <definedName name="solver_nod" localSheetId="2" hidden="1">2147483647</definedName>
    <definedName name="solver_nod" localSheetId="0" hidden="1">2147483647</definedName>
    <definedName name="solver_num" localSheetId="2" hidden="1">6</definedName>
    <definedName name="solver_num" localSheetId="0" hidden="1">9</definedName>
    <definedName name="solver_nwt" localSheetId="2" hidden="1">1</definedName>
    <definedName name="solver_nwt" localSheetId="0" hidden="1">1</definedName>
    <definedName name="solver_opt" localSheetId="2" hidden="1">backend!$AQ$258</definedName>
    <definedName name="solver_opt" localSheetId="0" hidden="1">Inputs!$B$16</definedName>
    <definedName name="solver_pre" localSheetId="2" hidden="1">0.000001</definedName>
    <definedName name="solver_pre" localSheetId="0" hidden="1">0.000001</definedName>
    <definedName name="solver_rbv" localSheetId="2" hidden="1">2</definedName>
    <definedName name="solver_rbv" localSheetId="0" hidden="1">2</definedName>
    <definedName name="solver_rel1" localSheetId="2" hidden="1">3</definedName>
    <definedName name="solver_rel1" localSheetId="0" hidden="1">1</definedName>
    <definedName name="solver_rel10" localSheetId="2" hidden="1">1</definedName>
    <definedName name="solver_rel11" localSheetId="2" hidden="1">1</definedName>
    <definedName name="solver_rel2" localSheetId="2" hidden="1">3</definedName>
    <definedName name="solver_rel2" localSheetId="0" hidden="1">1</definedName>
    <definedName name="solver_rel3" localSheetId="2" hidden="1">3</definedName>
    <definedName name="solver_rel3" localSheetId="0" hidden="1">1</definedName>
    <definedName name="solver_rel4" localSheetId="2" hidden="1">3</definedName>
    <definedName name="solver_rel4" localSheetId="0" hidden="1">1</definedName>
    <definedName name="solver_rel5" localSheetId="2" hidden="1">3</definedName>
    <definedName name="solver_rel5" localSheetId="0" hidden="1">1</definedName>
    <definedName name="solver_rel6" localSheetId="2" hidden="1">1</definedName>
    <definedName name="solver_rel6" localSheetId="0" hidden="1">1</definedName>
    <definedName name="solver_rel7" localSheetId="2" hidden="1">1</definedName>
    <definedName name="solver_rel7" localSheetId="0" hidden="1">1</definedName>
    <definedName name="solver_rel8" localSheetId="2" hidden="1">1</definedName>
    <definedName name="solver_rel8" localSheetId="0" hidden="1">1</definedName>
    <definedName name="solver_rel9" localSheetId="2" hidden="1">1</definedName>
    <definedName name="solver_rel9" localSheetId="0" hidden="1">1</definedName>
    <definedName name="solver_rhs1" localSheetId="2" hidden="1">0</definedName>
    <definedName name="solver_rhs1" localSheetId="0" hidden="1">Inputs!$B$17</definedName>
    <definedName name="solver_rhs10" localSheetId="2" hidden="1">1</definedName>
    <definedName name="solver_rhs11" localSheetId="2" hidden="1">1</definedName>
    <definedName name="solver_rhs2" localSheetId="2" hidden="1">0</definedName>
    <definedName name="solver_rhs2" localSheetId="0" hidden="1">Inputs!$B$18</definedName>
    <definedName name="solver_rhs3" localSheetId="2" hidden="1">0</definedName>
    <definedName name="solver_rhs3" localSheetId="0" hidden="1">Inputs!$B$18</definedName>
    <definedName name="solver_rhs4" localSheetId="2" hidden="1">0</definedName>
    <definedName name="solver_rhs4" localSheetId="0" hidden="1">Inputs!$B$18</definedName>
    <definedName name="solver_rhs5" localSheetId="2" hidden="1">0</definedName>
    <definedName name="solver_rhs5" localSheetId="0" hidden="1">Inputs!$B$18</definedName>
    <definedName name="solver_rhs6" localSheetId="2" hidden="1">1</definedName>
    <definedName name="solver_rhs6" localSheetId="0" hidden="1">Inputs!$B$18</definedName>
    <definedName name="solver_rhs7" localSheetId="2" hidden="1">1</definedName>
    <definedName name="solver_rhs7" localSheetId="0" hidden="1">Inputs!$B$18</definedName>
    <definedName name="solver_rhs8" localSheetId="2" hidden="1">1</definedName>
    <definedName name="solver_rhs8" localSheetId="0" hidden="1">Inputs!$B$18</definedName>
    <definedName name="solver_rhs9" localSheetId="2" hidden="1">1</definedName>
    <definedName name="solver_rhs9" localSheetId="0" hidden="1">Inputs!$B$18</definedName>
    <definedName name="solver_rlx" localSheetId="2" hidden="1">2</definedName>
    <definedName name="solver_rlx" localSheetId="0" hidden="1">2</definedName>
    <definedName name="solver_rsd" localSheetId="2" hidden="1">0</definedName>
    <definedName name="solver_rsd" localSheetId="0" hidden="1">0</definedName>
    <definedName name="solver_scl" localSheetId="2" hidden="1">2</definedName>
    <definedName name="solver_scl" localSheetId="0" hidden="1">2</definedName>
    <definedName name="solver_sho" localSheetId="2" hidden="1">2</definedName>
    <definedName name="solver_sho" localSheetId="0" hidden="1">2</definedName>
    <definedName name="solver_ssz" localSheetId="2" hidden="1">100</definedName>
    <definedName name="solver_ssz" localSheetId="0" hidden="1">100</definedName>
    <definedName name="solver_tim" localSheetId="2" hidden="1">2147483647</definedName>
    <definedName name="solver_tim" localSheetId="0" hidden="1">2147483647</definedName>
    <definedName name="solver_tol" localSheetId="2" hidden="1">0.01</definedName>
    <definedName name="solver_tol" localSheetId="0" hidden="1">0.01</definedName>
    <definedName name="solver_typ" localSheetId="2" hidden="1">1</definedName>
    <definedName name="solver_typ" localSheetId="0" hidden="1">1</definedName>
    <definedName name="solver_val" localSheetId="2" hidden="1">0</definedName>
    <definedName name="solver_val" localSheetId="0" hidden="1">0</definedName>
    <definedName name="solver_ver" localSheetId="2" hidden="1">3</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 l="1"/>
  <c r="K3" i="2"/>
  <c r="L3" i="2"/>
  <c r="M3" i="2"/>
  <c r="N3" i="2"/>
  <c r="O3" i="2"/>
  <c r="P3" i="2"/>
  <c r="Q3" i="2"/>
  <c r="J4" i="2"/>
  <c r="K4" i="2"/>
  <c r="L4" i="2"/>
  <c r="M4" i="2"/>
  <c r="N4" i="2"/>
  <c r="O4" i="2"/>
  <c r="P4" i="2"/>
  <c r="Q4" i="2"/>
  <c r="J5" i="2"/>
  <c r="K5" i="2"/>
  <c r="L5" i="2"/>
  <c r="M5" i="2"/>
  <c r="N5" i="2"/>
  <c r="O5" i="2"/>
  <c r="P5" i="2"/>
  <c r="Q5" i="2"/>
  <c r="J6" i="2"/>
  <c r="K6" i="2"/>
  <c r="L6" i="2"/>
  <c r="M6" i="2"/>
  <c r="N6" i="2"/>
  <c r="O6" i="2"/>
  <c r="P6" i="2"/>
  <c r="Q6" i="2"/>
  <c r="J7" i="2"/>
  <c r="K7" i="2"/>
  <c r="L7" i="2"/>
  <c r="M7" i="2"/>
  <c r="N7" i="2"/>
  <c r="O7" i="2"/>
  <c r="P7" i="2"/>
  <c r="Q7" i="2"/>
  <c r="J8" i="2"/>
  <c r="K8" i="2"/>
  <c r="L8" i="2"/>
  <c r="M8" i="2"/>
  <c r="N8" i="2"/>
  <c r="O8" i="2"/>
  <c r="P8" i="2"/>
  <c r="Q8" i="2"/>
  <c r="J9" i="2"/>
  <c r="K9" i="2"/>
  <c r="L9" i="2"/>
  <c r="M9" i="2"/>
  <c r="N9" i="2"/>
  <c r="O9" i="2"/>
  <c r="P9" i="2"/>
  <c r="Q9" i="2"/>
  <c r="J10" i="2"/>
  <c r="K10" i="2"/>
  <c r="L10" i="2"/>
  <c r="M10" i="2"/>
  <c r="N10" i="2"/>
  <c r="O10" i="2"/>
  <c r="P10" i="2"/>
  <c r="Q10" i="2"/>
  <c r="J11" i="2"/>
  <c r="K11" i="2"/>
  <c r="L11" i="2"/>
  <c r="M11" i="2"/>
  <c r="N11" i="2"/>
  <c r="O11" i="2"/>
  <c r="P11" i="2"/>
  <c r="Q11" i="2"/>
  <c r="J12" i="2"/>
  <c r="K12" i="2"/>
  <c r="L12" i="2"/>
  <c r="M12" i="2"/>
  <c r="N12" i="2"/>
  <c r="O12" i="2"/>
  <c r="P12" i="2"/>
  <c r="Q12" i="2"/>
  <c r="J13" i="2"/>
  <c r="K13" i="2"/>
  <c r="L13" i="2"/>
  <c r="M13" i="2"/>
  <c r="N13" i="2"/>
  <c r="O13" i="2"/>
  <c r="P13" i="2"/>
  <c r="Q13" i="2"/>
  <c r="J14" i="2"/>
  <c r="K14" i="2"/>
  <c r="L14" i="2"/>
  <c r="M14" i="2"/>
  <c r="N14" i="2"/>
  <c r="O14" i="2"/>
  <c r="P14" i="2"/>
  <c r="Q14" i="2"/>
  <c r="J15" i="2"/>
  <c r="K15" i="2"/>
  <c r="L15" i="2"/>
  <c r="M15" i="2"/>
  <c r="N15" i="2"/>
  <c r="O15" i="2"/>
  <c r="P15" i="2"/>
  <c r="Q15" i="2"/>
  <c r="J16" i="2"/>
  <c r="K16" i="2"/>
  <c r="L16" i="2"/>
  <c r="M16" i="2"/>
  <c r="N16" i="2"/>
  <c r="O16" i="2"/>
  <c r="P16" i="2"/>
  <c r="Q16" i="2"/>
  <c r="J17" i="2"/>
  <c r="K17" i="2"/>
  <c r="L17" i="2"/>
  <c r="M17" i="2"/>
  <c r="N17" i="2"/>
  <c r="O17" i="2"/>
  <c r="P17" i="2"/>
  <c r="Q17" i="2"/>
  <c r="J18" i="2"/>
  <c r="K18" i="2"/>
  <c r="L18" i="2"/>
  <c r="M18" i="2"/>
  <c r="N18" i="2"/>
  <c r="O18" i="2"/>
  <c r="P18" i="2"/>
  <c r="Q18" i="2"/>
  <c r="J19" i="2"/>
  <c r="K19" i="2"/>
  <c r="L19" i="2"/>
  <c r="M19" i="2"/>
  <c r="N19" i="2"/>
  <c r="O19" i="2"/>
  <c r="P19" i="2"/>
  <c r="Q19" i="2"/>
  <c r="J20" i="2"/>
  <c r="K20" i="2"/>
  <c r="L20" i="2"/>
  <c r="M20" i="2"/>
  <c r="N20" i="2"/>
  <c r="O20" i="2"/>
  <c r="P20" i="2"/>
  <c r="Q20" i="2"/>
  <c r="J21" i="2"/>
  <c r="K21" i="2"/>
  <c r="L21" i="2"/>
  <c r="M21" i="2"/>
  <c r="N21" i="2"/>
  <c r="O21" i="2"/>
  <c r="P21" i="2"/>
  <c r="Q21" i="2"/>
  <c r="J22" i="2"/>
  <c r="K22" i="2"/>
  <c r="L22" i="2"/>
  <c r="M22" i="2"/>
  <c r="N22" i="2"/>
  <c r="O22" i="2"/>
  <c r="P22" i="2"/>
  <c r="Q22" i="2"/>
  <c r="J23" i="2"/>
  <c r="K23" i="2"/>
  <c r="L23" i="2"/>
  <c r="M23" i="2"/>
  <c r="N23" i="2"/>
  <c r="O23" i="2"/>
  <c r="P23" i="2"/>
  <c r="Q23" i="2"/>
  <c r="J24" i="2"/>
  <c r="K24" i="2"/>
  <c r="L24" i="2"/>
  <c r="M24" i="2"/>
  <c r="N24" i="2"/>
  <c r="O24" i="2"/>
  <c r="P24" i="2"/>
  <c r="Q24" i="2"/>
  <c r="J25" i="2"/>
  <c r="K25" i="2"/>
  <c r="L25" i="2"/>
  <c r="M25" i="2"/>
  <c r="N25" i="2"/>
  <c r="O25" i="2"/>
  <c r="P25" i="2"/>
  <c r="Q25" i="2"/>
  <c r="J26" i="2"/>
  <c r="K26" i="2"/>
  <c r="L26" i="2"/>
  <c r="M26" i="2"/>
  <c r="N26" i="2"/>
  <c r="O26" i="2"/>
  <c r="P26" i="2"/>
  <c r="Q26" i="2"/>
  <c r="J27" i="2"/>
  <c r="K27" i="2"/>
  <c r="L27" i="2"/>
  <c r="M27" i="2"/>
  <c r="N27" i="2"/>
  <c r="O27" i="2"/>
  <c r="P27" i="2"/>
  <c r="Q27" i="2"/>
  <c r="J28" i="2"/>
  <c r="K28" i="2"/>
  <c r="L28" i="2"/>
  <c r="M28" i="2"/>
  <c r="N28" i="2"/>
  <c r="O28" i="2"/>
  <c r="P28" i="2"/>
  <c r="Q28" i="2"/>
  <c r="J29" i="2"/>
  <c r="K29" i="2"/>
  <c r="L29" i="2"/>
  <c r="M29" i="2"/>
  <c r="N29" i="2"/>
  <c r="O29" i="2"/>
  <c r="P29" i="2"/>
  <c r="Q29" i="2"/>
  <c r="J30" i="2"/>
  <c r="K30" i="2"/>
  <c r="L30" i="2"/>
  <c r="M30" i="2"/>
  <c r="N30" i="2"/>
  <c r="O30" i="2"/>
  <c r="P30" i="2"/>
  <c r="Q30" i="2"/>
  <c r="J31" i="2"/>
  <c r="K31" i="2"/>
  <c r="L31" i="2"/>
  <c r="M31" i="2"/>
  <c r="N31" i="2"/>
  <c r="O31" i="2"/>
  <c r="P31" i="2"/>
  <c r="Q31" i="2"/>
  <c r="J32" i="2"/>
  <c r="K32" i="2"/>
  <c r="L32" i="2"/>
  <c r="M32" i="2"/>
  <c r="N32" i="2"/>
  <c r="O32" i="2"/>
  <c r="P32" i="2"/>
  <c r="Q32" i="2"/>
  <c r="J33" i="2"/>
  <c r="K33" i="2"/>
  <c r="L33" i="2"/>
  <c r="M33" i="2"/>
  <c r="N33" i="2"/>
  <c r="O33" i="2"/>
  <c r="P33" i="2"/>
  <c r="Q33" i="2"/>
  <c r="J34" i="2"/>
  <c r="K34" i="2"/>
  <c r="L34" i="2"/>
  <c r="M34" i="2"/>
  <c r="N34" i="2"/>
  <c r="O34" i="2"/>
  <c r="P34" i="2"/>
  <c r="Q34" i="2"/>
  <c r="J35" i="2"/>
  <c r="K35" i="2"/>
  <c r="L35" i="2"/>
  <c r="M35" i="2"/>
  <c r="N35" i="2"/>
  <c r="O35" i="2"/>
  <c r="P35" i="2"/>
  <c r="Q35" i="2"/>
  <c r="J36" i="2"/>
  <c r="K36" i="2"/>
  <c r="L36" i="2"/>
  <c r="M36" i="2"/>
  <c r="N36" i="2"/>
  <c r="O36" i="2"/>
  <c r="P36" i="2"/>
  <c r="Q36" i="2"/>
  <c r="J37" i="2"/>
  <c r="K37" i="2"/>
  <c r="L37" i="2"/>
  <c r="M37" i="2"/>
  <c r="N37" i="2"/>
  <c r="O37" i="2"/>
  <c r="P37" i="2"/>
  <c r="Q37" i="2"/>
  <c r="J38" i="2"/>
  <c r="K38" i="2"/>
  <c r="L38" i="2"/>
  <c r="M38" i="2"/>
  <c r="N38" i="2"/>
  <c r="O38" i="2"/>
  <c r="P38" i="2"/>
  <c r="Q38" i="2"/>
  <c r="J39" i="2"/>
  <c r="K39" i="2"/>
  <c r="L39" i="2"/>
  <c r="M39" i="2"/>
  <c r="N39" i="2"/>
  <c r="O39" i="2"/>
  <c r="P39" i="2"/>
  <c r="Q39" i="2"/>
  <c r="J40" i="2"/>
  <c r="K40" i="2"/>
  <c r="L40" i="2"/>
  <c r="M40" i="2"/>
  <c r="N40" i="2"/>
  <c r="O40" i="2"/>
  <c r="P40" i="2"/>
  <c r="Q40" i="2"/>
  <c r="J41" i="2"/>
  <c r="K41" i="2"/>
  <c r="L41" i="2"/>
  <c r="M41" i="2"/>
  <c r="N41" i="2"/>
  <c r="O41" i="2"/>
  <c r="P41" i="2"/>
  <c r="Q41" i="2"/>
  <c r="J42" i="2"/>
  <c r="K42" i="2"/>
  <c r="L42" i="2"/>
  <c r="M42" i="2"/>
  <c r="N42" i="2"/>
  <c r="O42" i="2"/>
  <c r="P42" i="2"/>
  <c r="Q42" i="2"/>
  <c r="J43" i="2"/>
  <c r="K43" i="2"/>
  <c r="L43" i="2"/>
  <c r="M43" i="2"/>
  <c r="N43" i="2"/>
  <c r="O43" i="2"/>
  <c r="P43" i="2"/>
  <c r="Q43" i="2"/>
  <c r="J44" i="2"/>
  <c r="K44" i="2"/>
  <c r="L44" i="2"/>
  <c r="M44" i="2"/>
  <c r="N44" i="2"/>
  <c r="O44" i="2"/>
  <c r="P44" i="2"/>
  <c r="Q44" i="2"/>
  <c r="J45" i="2"/>
  <c r="K45" i="2"/>
  <c r="L45" i="2"/>
  <c r="M45" i="2"/>
  <c r="N45" i="2"/>
  <c r="O45" i="2"/>
  <c r="P45" i="2"/>
  <c r="Q45" i="2"/>
  <c r="J46" i="2"/>
  <c r="K46" i="2"/>
  <c r="L46" i="2"/>
  <c r="M46" i="2"/>
  <c r="N46" i="2"/>
  <c r="O46" i="2"/>
  <c r="P46" i="2"/>
  <c r="Q46" i="2"/>
  <c r="J47" i="2"/>
  <c r="K47" i="2"/>
  <c r="L47" i="2"/>
  <c r="M47" i="2"/>
  <c r="N47" i="2"/>
  <c r="O47" i="2"/>
  <c r="P47" i="2"/>
  <c r="Q47" i="2"/>
  <c r="J48" i="2"/>
  <c r="K48" i="2"/>
  <c r="L48" i="2"/>
  <c r="M48" i="2"/>
  <c r="N48" i="2"/>
  <c r="O48" i="2"/>
  <c r="P48" i="2"/>
  <c r="Q48" i="2"/>
  <c r="J49" i="2"/>
  <c r="K49" i="2"/>
  <c r="L49" i="2"/>
  <c r="M49" i="2"/>
  <c r="N49" i="2"/>
  <c r="O49" i="2"/>
  <c r="P49" i="2"/>
  <c r="Q49" i="2"/>
  <c r="J50" i="2"/>
  <c r="K50" i="2"/>
  <c r="L50" i="2"/>
  <c r="M50" i="2"/>
  <c r="N50" i="2"/>
  <c r="O50" i="2"/>
  <c r="P50" i="2"/>
  <c r="Q50" i="2"/>
  <c r="J51" i="2"/>
  <c r="K51" i="2"/>
  <c r="L51" i="2"/>
  <c r="M51" i="2"/>
  <c r="N51" i="2"/>
  <c r="O51" i="2"/>
  <c r="P51" i="2"/>
  <c r="Q51" i="2"/>
  <c r="J52" i="2"/>
  <c r="K52" i="2"/>
  <c r="L52" i="2"/>
  <c r="M52" i="2"/>
  <c r="N52" i="2"/>
  <c r="O52" i="2"/>
  <c r="P52" i="2"/>
  <c r="Q52" i="2"/>
  <c r="J53" i="2"/>
  <c r="K53" i="2"/>
  <c r="L53" i="2"/>
  <c r="M53" i="2"/>
  <c r="N53" i="2"/>
  <c r="O53" i="2"/>
  <c r="P53" i="2"/>
  <c r="Q53" i="2"/>
  <c r="J54" i="2"/>
  <c r="K54" i="2"/>
  <c r="L54" i="2"/>
  <c r="M54" i="2"/>
  <c r="N54" i="2"/>
  <c r="O54" i="2"/>
  <c r="P54" i="2"/>
  <c r="Q54" i="2"/>
  <c r="J55" i="2"/>
  <c r="K55" i="2"/>
  <c r="L55" i="2"/>
  <c r="M55" i="2"/>
  <c r="N55" i="2"/>
  <c r="O55" i="2"/>
  <c r="P55" i="2"/>
  <c r="Q55" i="2"/>
  <c r="J56" i="2"/>
  <c r="K56" i="2"/>
  <c r="L56" i="2"/>
  <c r="M56" i="2"/>
  <c r="N56" i="2"/>
  <c r="O56" i="2"/>
  <c r="P56" i="2"/>
  <c r="Q56" i="2"/>
  <c r="J57" i="2"/>
  <c r="K57" i="2"/>
  <c r="L57" i="2"/>
  <c r="M57" i="2"/>
  <c r="N57" i="2"/>
  <c r="O57" i="2"/>
  <c r="P57" i="2"/>
  <c r="Q57" i="2"/>
  <c r="J58" i="2"/>
  <c r="K58" i="2"/>
  <c r="L58" i="2"/>
  <c r="M58" i="2"/>
  <c r="N58" i="2"/>
  <c r="O58" i="2"/>
  <c r="P58" i="2"/>
  <c r="Q58" i="2"/>
  <c r="J59" i="2"/>
  <c r="K59" i="2"/>
  <c r="L59" i="2"/>
  <c r="M59" i="2"/>
  <c r="N59" i="2"/>
  <c r="O59" i="2"/>
  <c r="P59" i="2"/>
  <c r="Q59" i="2"/>
  <c r="J60" i="2"/>
  <c r="K60" i="2"/>
  <c r="L60" i="2"/>
  <c r="M60" i="2"/>
  <c r="N60" i="2"/>
  <c r="O60" i="2"/>
  <c r="P60" i="2"/>
  <c r="Q60" i="2"/>
  <c r="J61" i="2"/>
  <c r="K61" i="2"/>
  <c r="L61" i="2"/>
  <c r="M61" i="2"/>
  <c r="N61" i="2"/>
  <c r="O61" i="2"/>
  <c r="P61" i="2"/>
  <c r="Q61" i="2"/>
  <c r="J62" i="2"/>
  <c r="K62" i="2"/>
  <c r="L62" i="2"/>
  <c r="M62" i="2"/>
  <c r="N62" i="2"/>
  <c r="O62" i="2"/>
  <c r="P62" i="2"/>
  <c r="Q62" i="2"/>
  <c r="J63" i="2"/>
  <c r="K63" i="2"/>
  <c r="L63" i="2"/>
  <c r="M63" i="2"/>
  <c r="N63" i="2"/>
  <c r="O63" i="2"/>
  <c r="P63" i="2"/>
  <c r="Q63" i="2"/>
  <c r="J64" i="2"/>
  <c r="K64" i="2"/>
  <c r="L64" i="2"/>
  <c r="M64" i="2"/>
  <c r="N64" i="2"/>
  <c r="O64" i="2"/>
  <c r="P64" i="2"/>
  <c r="Q64" i="2"/>
  <c r="J65" i="2"/>
  <c r="K65" i="2"/>
  <c r="L65" i="2"/>
  <c r="M65" i="2"/>
  <c r="N65" i="2"/>
  <c r="O65" i="2"/>
  <c r="P65" i="2"/>
  <c r="Q65" i="2"/>
  <c r="J66" i="2"/>
  <c r="K66" i="2"/>
  <c r="L66" i="2"/>
  <c r="M66" i="2"/>
  <c r="N66" i="2"/>
  <c r="O66" i="2"/>
  <c r="P66" i="2"/>
  <c r="Q66" i="2"/>
  <c r="J67" i="2"/>
  <c r="K67" i="2"/>
  <c r="L67" i="2"/>
  <c r="M67" i="2"/>
  <c r="N67" i="2"/>
  <c r="O67" i="2"/>
  <c r="P67" i="2"/>
  <c r="Q67" i="2"/>
  <c r="J68" i="2"/>
  <c r="K68" i="2"/>
  <c r="L68" i="2"/>
  <c r="M68" i="2"/>
  <c r="N68" i="2"/>
  <c r="O68" i="2"/>
  <c r="P68" i="2"/>
  <c r="Q68" i="2"/>
  <c r="J69" i="2"/>
  <c r="K69" i="2"/>
  <c r="L69" i="2"/>
  <c r="M69" i="2"/>
  <c r="N69" i="2"/>
  <c r="O69" i="2"/>
  <c r="P69" i="2"/>
  <c r="Q69" i="2"/>
  <c r="J70" i="2"/>
  <c r="K70" i="2"/>
  <c r="L70" i="2"/>
  <c r="M70" i="2"/>
  <c r="N70" i="2"/>
  <c r="O70" i="2"/>
  <c r="P70" i="2"/>
  <c r="Q70" i="2"/>
  <c r="J71" i="2"/>
  <c r="K71" i="2"/>
  <c r="L71" i="2"/>
  <c r="M71" i="2"/>
  <c r="N71" i="2"/>
  <c r="O71" i="2"/>
  <c r="P71" i="2"/>
  <c r="Q71" i="2"/>
  <c r="J72" i="2"/>
  <c r="K72" i="2"/>
  <c r="L72" i="2"/>
  <c r="M72" i="2"/>
  <c r="N72" i="2"/>
  <c r="O72" i="2"/>
  <c r="P72" i="2"/>
  <c r="Q72" i="2"/>
  <c r="J73" i="2"/>
  <c r="K73" i="2"/>
  <c r="L73" i="2"/>
  <c r="M73" i="2"/>
  <c r="N73" i="2"/>
  <c r="O73" i="2"/>
  <c r="P73" i="2"/>
  <c r="Q73" i="2"/>
  <c r="J74" i="2"/>
  <c r="K74" i="2"/>
  <c r="L74" i="2"/>
  <c r="M74" i="2"/>
  <c r="N74" i="2"/>
  <c r="O74" i="2"/>
  <c r="P74" i="2"/>
  <c r="Q74" i="2"/>
  <c r="J75" i="2"/>
  <c r="K75" i="2"/>
  <c r="L75" i="2"/>
  <c r="M75" i="2"/>
  <c r="N75" i="2"/>
  <c r="O75" i="2"/>
  <c r="P75" i="2"/>
  <c r="Q75" i="2"/>
  <c r="J76" i="2"/>
  <c r="K76" i="2"/>
  <c r="L76" i="2"/>
  <c r="M76" i="2"/>
  <c r="N76" i="2"/>
  <c r="O76" i="2"/>
  <c r="P76" i="2"/>
  <c r="Q76" i="2"/>
  <c r="J77" i="2"/>
  <c r="K77" i="2"/>
  <c r="L77" i="2"/>
  <c r="M77" i="2"/>
  <c r="N77" i="2"/>
  <c r="O77" i="2"/>
  <c r="P77" i="2"/>
  <c r="Q77" i="2"/>
  <c r="J78" i="2"/>
  <c r="K78" i="2"/>
  <c r="L78" i="2"/>
  <c r="M78" i="2"/>
  <c r="N78" i="2"/>
  <c r="O78" i="2"/>
  <c r="P78" i="2"/>
  <c r="Q78" i="2"/>
  <c r="J79" i="2"/>
  <c r="K79" i="2"/>
  <c r="L79" i="2"/>
  <c r="M79" i="2"/>
  <c r="N79" i="2"/>
  <c r="O79" i="2"/>
  <c r="P79" i="2"/>
  <c r="Q79" i="2"/>
  <c r="J80" i="2"/>
  <c r="K80" i="2"/>
  <c r="L80" i="2"/>
  <c r="M80" i="2"/>
  <c r="N80" i="2"/>
  <c r="O80" i="2"/>
  <c r="P80" i="2"/>
  <c r="Q80" i="2"/>
  <c r="J81" i="2"/>
  <c r="K81" i="2"/>
  <c r="L81" i="2"/>
  <c r="M81" i="2"/>
  <c r="N81" i="2"/>
  <c r="O81" i="2"/>
  <c r="P81" i="2"/>
  <c r="Q81" i="2"/>
  <c r="J82" i="2"/>
  <c r="K82" i="2"/>
  <c r="L82" i="2"/>
  <c r="M82" i="2"/>
  <c r="N82" i="2"/>
  <c r="O82" i="2"/>
  <c r="P82" i="2"/>
  <c r="Q82" i="2"/>
  <c r="J83" i="2"/>
  <c r="K83" i="2"/>
  <c r="L83" i="2"/>
  <c r="M83" i="2"/>
  <c r="N83" i="2"/>
  <c r="O83" i="2"/>
  <c r="P83" i="2"/>
  <c r="Q83" i="2"/>
  <c r="J84" i="2"/>
  <c r="K84" i="2"/>
  <c r="L84" i="2"/>
  <c r="M84" i="2"/>
  <c r="N84" i="2"/>
  <c r="O84" i="2"/>
  <c r="P84" i="2"/>
  <c r="Q84" i="2"/>
  <c r="J85" i="2"/>
  <c r="K85" i="2"/>
  <c r="L85" i="2"/>
  <c r="M85" i="2"/>
  <c r="N85" i="2"/>
  <c r="O85" i="2"/>
  <c r="P85" i="2"/>
  <c r="Q85" i="2"/>
  <c r="J86" i="2"/>
  <c r="K86" i="2"/>
  <c r="L86" i="2"/>
  <c r="M86" i="2"/>
  <c r="N86" i="2"/>
  <c r="O86" i="2"/>
  <c r="P86" i="2"/>
  <c r="Q86" i="2"/>
  <c r="J87" i="2"/>
  <c r="K87" i="2"/>
  <c r="L87" i="2"/>
  <c r="M87" i="2"/>
  <c r="N87" i="2"/>
  <c r="O87" i="2"/>
  <c r="P87" i="2"/>
  <c r="Q87" i="2"/>
  <c r="J88" i="2"/>
  <c r="K88" i="2"/>
  <c r="L88" i="2"/>
  <c r="M88" i="2"/>
  <c r="N88" i="2"/>
  <c r="O88" i="2"/>
  <c r="P88" i="2"/>
  <c r="Q88" i="2"/>
  <c r="J89" i="2"/>
  <c r="K89" i="2"/>
  <c r="L89" i="2"/>
  <c r="M89" i="2"/>
  <c r="N89" i="2"/>
  <c r="O89" i="2"/>
  <c r="P89" i="2"/>
  <c r="Q89" i="2"/>
  <c r="J90" i="2"/>
  <c r="K90" i="2"/>
  <c r="L90" i="2"/>
  <c r="M90" i="2"/>
  <c r="N90" i="2"/>
  <c r="O90" i="2"/>
  <c r="P90" i="2"/>
  <c r="Q90" i="2"/>
  <c r="J91" i="2"/>
  <c r="K91" i="2"/>
  <c r="L91" i="2"/>
  <c r="M91" i="2"/>
  <c r="N91" i="2"/>
  <c r="O91" i="2"/>
  <c r="P91" i="2"/>
  <c r="Q91" i="2"/>
  <c r="J92" i="2"/>
  <c r="K92" i="2"/>
  <c r="L92" i="2"/>
  <c r="M92" i="2"/>
  <c r="N92" i="2"/>
  <c r="O92" i="2"/>
  <c r="P92" i="2"/>
  <c r="Q92" i="2"/>
  <c r="J93" i="2"/>
  <c r="K93" i="2"/>
  <c r="L93" i="2"/>
  <c r="M93" i="2"/>
  <c r="N93" i="2"/>
  <c r="O93" i="2"/>
  <c r="P93" i="2"/>
  <c r="Q93" i="2"/>
  <c r="J94" i="2"/>
  <c r="K94" i="2"/>
  <c r="L94" i="2"/>
  <c r="M94" i="2"/>
  <c r="N94" i="2"/>
  <c r="O94" i="2"/>
  <c r="P94" i="2"/>
  <c r="Q94" i="2"/>
  <c r="J95" i="2"/>
  <c r="K95" i="2"/>
  <c r="L95" i="2"/>
  <c r="M95" i="2"/>
  <c r="N95" i="2"/>
  <c r="O95" i="2"/>
  <c r="P95" i="2"/>
  <c r="Q95" i="2"/>
  <c r="J96" i="2"/>
  <c r="K96" i="2"/>
  <c r="L96" i="2"/>
  <c r="M96" i="2"/>
  <c r="N96" i="2"/>
  <c r="O96" i="2"/>
  <c r="P96" i="2"/>
  <c r="Q96" i="2"/>
  <c r="J97" i="2"/>
  <c r="K97" i="2"/>
  <c r="L97" i="2"/>
  <c r="M97" i="2"/>
  <c r="N97" i="2"/>
  <c r="O97" i="2"/>
  <c r="P97" i="2"/>
  <c r="Q97" i="2"/>
  <c r="J98" i="2"/>
  <c r="K98" i="2"/>
  <c r="L98" i="2"/>
  <c r="M98" i="2"/>
  <c r="N98" i="2"/>
  <c r="O98" i="2"/>
  <c r="P98" i="2"/>
  <c r="Q98" i="2"/>
  <c r="J99" i="2"/>
  <c r="K99" i="2"/>
  <c r="L99" i="2"/>
  <c r="M99" i="2"/>
  <c r="N99" i="2"/>
  <c r="O99" i="2"/>
  <c r="P99" i="2"/>
  <c r="Q99" i="2"/>
  <c r="J100" i="2"/>
  <c r="K100" i="2"/>
  <c r="L100" i="2"/>
  <c r="M100" i="2"/>
  <c r="N100" i="2"/>
  <c r="O100" i="2"/>
  <c r="P100" i="2"/>
  <c r="Q100" i="2"/>
  <c r="J101" i="2"/>
  <c r="K101" i="2"/>
  <c r="L101" i="2"/>
  <c r="M101" i="2"/>
  <c r="N101" i="2"/>
  <c r="O101" i="2"/>
  <c r="P101" i="2"/>
  <c r="Q101" i="2"/>
  <c r="J102" i="2"/>
  <c r="K102" i="2"/>
  <c r="L102" i="2"/>
  <c r="M102" i="2"/>
  <c r="N102" i="2"/>
  <c r="O102" i="2"/>
  <c r="P102" i="2"/>
  <c r="Q102" i="2"/>
  <c r="J103" i="2"/>
  <c r="K103" i="2"/>
  <c r="L103" i="2"/>
  <c r="M103" i="2"/>
  <c r="N103" i="2"/>
  <c r="O103" i="2"/>
  <c r="P103" i="2"/>
  <c r="Q103" i="2"/>
  <c r="J104" i="2"/>
  <c r="K104" i="2"/>
  <c r="L104" i="2"/>
  <c r="M104" i="2"/>
  <c r="N104" i="2"/>
  <c r="O104" i="2"/>
  <c r="P104" i="2"/>
  <c r="Q104" i="2"/>
  <c r="J105" i="2"/>
  <c r="K105" i="2"/>
  <c r="L105" i="2"/>
  <c r="M105" i="2"/>
  <c r="N105" i="2"/>
  <c r="O105" i="2"/>
  <c r="P105" i="2"/>
  <c r="Q105" i="2"/>
  <c r="J106" i="2"/>
  <c r="K106" i="2"/>
  <c r="L106" i="2"/>
  <c r="M106" i="2"/>
  <c r="N106" i="2"/>
  <c r="O106" i="2"/>
  <c r="P106" i="2"/>
  <c r="Q106" i="2"/>
  <c r="J107" i="2"/>
  <c r="K107" i="2"/>
  <c r="L107" i="2"/>
  <c r="M107" i="2"/>
  <c r="N107" i="2"/>
  <c r="O107" i="2"/>
  <c r="P107" i="2"/>
  <c r="Q107" i="2"/>
  <c r="J108" i="2"/>
  <c r="K108" i="2"/>
  <c r="L108" i="2"/>
  <c r="M108" i="2"/>
  <c r="N108" i="2"/>
  <c r="O108" i="2"/>
  <c r="P108" i="2"/>
  <c r="Q108" i="2"/>
  <c r="J109" i="2"/>
  <c r="K109" i="2"/>
  <c r="L109" i="2"/>
  <c r="M109" i="2"/>
  <c r="N109" i="2"/>
  <c r="O109" i="2"/>
  <c r="P109" i="2"/>
  <c r="Q109" i="2"/>
  <c r="J110" i="2"/>
  <c r="K110" i="2"/>
  <c r="L110" i="2"/>
  <c r="M110" i="2"/>
  <c r="N110" i="2"/>
  <c r="O110" i="2"/>
  <c r="P110" i="2"/>
  <c r="Q110" i="2"/>
  <c r="J111" i="2"/>
  <c r="K111" i="2"/>
  <c r="L111" i="2"/>
  <c r="M111" i="2"/>
  <c r="N111" i="2"/>
  <c r="O111" i="2"/>
  <c r="P111" i="2"/>
  <c r="Q111" i="2"/>
  <c r="J112" i="2"/>
  <c r="K112" i="2"/>
  <c r="L112" i="2"/>
  <c r="M112" i="2"/>
  <c r="N112" i="2"/>
  <c r="O112" i="2"/>
  <c r="P112" i="2"/>
  <c r="Q112" i="2"/>
  <c r="J113" i="2"/>
  <c r="K113" i="2"/>
  <c r="L113" i="2"/>
  <c r="M113" i="2"/>
  <c r="N113" i="2"/>
  <c r="O113" i="2"/>
  <c r="P113" i="2"/>
  <c r="Q113" i="2"/>
  <c r="J114" i="2"/>
  <c r="K114" i="2"/>
  <c r="L114" i="2"/>
  <c r="M114" i="2"/>
  <c r="N114" i="2"/>
  <c r="O114" i="2"/>
  <c r="P114" i="2"/>
  <c r="Q114" i="2"/>
  <c r="J115" i="2"/>
  <c r="K115" i="2"/>
  <c r="L115" i="2"/>
  <c r="M115" i="2"/>
  <c r="N115" i="2"/>
  <c r="O115" i="2"/>
  <c r="P115" i="2"/>
  <c r="Q115" i="2"/>
  <c r="J116" i="2"/>
  <c r="K116" i="2"/>
  <c r="L116" i="2"/>
  <c r="M116" i="2"/>
  <c r="N116" i="2"/>
  <c r="O116" i="2"/>
  <c r="P116" i="2"/>
  <c r="Q116" i="2"/>
  <c r="J117" i="2"/>
  <c r="K117" i="2"/>
  <c r="L117" i="2"/>
  <c r="M117" i="2"/>
  <c r="N117" i="2"/>
  <c r="O117" i="2"/>
  <c r="P117" i="2"/>
  <c r="Q117" i="2"/>
  <c r="J118" i="2"/>
  <c r="K118" i="2"/>
  <c r="L118" i="2"/>
  <c r="M118" i="2"/>
  <c r="N118" i="2"/>
  <c r="O118" i="2"/>
  <c r="P118" i="2"/>
  <c r="Q118" i="2"/>
  <c r="J119" i="2"/>
  <c r="K119" i="2"/>
  <c r="L119" i="2"/>
  <c r="M119" i="2"/>
  <c r="N119" i="2"/>
  <c r="O119" i="2"/>
  <c r="P119" i="2"/>
  <c r="Q119" i="2"/>
  <c r="J120" i="2"/>
  <c r="K120" i="2"/>
  <c r="L120" i="2"/>
  <c r="M120" i="2"/>
  <c r="N120" i="2"/>
  <c r="O120" i="2"/>
  <c r="P120" i="2"/>
  <c r="Q120" i="2"/>
  <c r="J121" i="2"/>
  <c r="K121" i="2"/>
  <c r="L121" i="2"/>
  <c r="M121" i="2"/>
  <c r="N121" i="2"/>
  <c r="O121" i="2"/>
  <c r="P121" i="2"/>
  <c r="Q121" i="2"/>
  <c r="J122" i="2"/>
  <c r="K122" i="2"/>
  <c r="L122" i="2"/>
  <c r="M122" i="2"/>
  <c r="N122" i="2"/>
  <c r="O122" i="2"/>
  <c r="P122" i="2"/>
  <c r="Q122" i="2"/>
  <c r="J123" i="2"/>
  <c r="K123" i="2"/>
  <c r="L123" i="2"/>
  <c r="M123" i="2"/>
  <c r="N123" i="2"/>
  <c r="O123" i="2"/>
  <c r="P123" i="2"/>
  <c r="Q123" i="2"/>
  <c r="J124" i="2"/>
  <c r="K124" i="2"/>
  <c r="L124" i="2"/>
  <c r="M124" i="2"/>
  <c r="N124" i="2"/>
  <c r="O124" i="2"/>
  <c r="P124" i="2"/>
  <c r="Q124" i="2"/>
  <c r="J125" i="2"/>
  <c r="K125" i="2"/>
  <c r="L125" i="2"/>
  <c r="M125" i="2"/>
  <c r="N125" i="2"/>
  <c r="O125" i="2"/>
  <c r="P125" i="2"/>
  <c r="Q125" i="2"/>
  <c r="J126" i="2"/>
  <c r="K126" i="2"/>
  <c r="L126" i="2"/>
  <c r="M126" i="2"/>
  <c r="N126" i="2"/>
  <c r="O126" i="2"/>
  <c r="P126" i="2"/>
  <c r="Q126" i="2"/>
  <c r="J127" i="2"/>
  <c r="K127" i="2"/>
  <c r="L127" i="2"/>
  <c r="M127" i="2"/>
  <c r="N127" i="2"/>
  <c r="O127" i="2"/>
  <c r="P127" i="2"/>
  <c r="Q127" i="2"/>
  <c r="J128" i="2"/>
  <c r="K128" i="2"/>
  <c r="L128" i="2"/>
  <c r="M128" i="2"/>
  <c r="N128" i="2"/>
  <c r="O128" i="2"/>
  <c r="P128" i="2"/>
  <c r="Q128" i="2"/>
  <c r="J129" i="2"/>
  <c r="K129" i="2"/>
  <c r="L129" i="2"/>
  <c r="M129" i="2"/>
  <c r="N129" i="2"/>
  <c r="O129" i="2"/>
  <c r="P129" i="2"/>
  <c r="Q129" i="2"/>
  <c r="J130" i="2"/>
  <c r="K130" i="2"/>
  <c r="L130" i="2"/>
  <c r="M130" i="2"/>
  <c r="N130" i="2"/>
  <c r="O130" i="2"/>
  <c r="P130" i="2"/>
  <c r="Q130" i="2"/>
  <c r="J131" i="2"/>
  <c r="K131" i="2"/>
  <c r="L131" i="2"/>
  <c r="M131" i="2"/>
  <c r="N131" i="2"/>
  <c r="O131" i="2"/>
  <c r="P131" i="2"/>
  <c r="Q131" i="2"/>
  <c r="J132" i="2"/>
  <c r="K132" i="2"/>
  <c r="L132" i="2"/>
  <c r="M132" i="2"/>
  <c r="N132" i="2"/>
  <c r="O132" i="2"/>
  <c r="P132" i="2"/>
  <c r="Q132" i="2"/>
  <c r="J133" i="2"/>
  <c r="K133" i="2"/>
  <c r="L133" i="2"/>
  <c r="M133" i="2"/>
  <c r="N133" i="2"/>
  <c r="O133" i="2"/>
  <c r="P133" i="2"/>
  <c r="Q133" i="2"/>
  <c r="J134" i="2"/>
  <c r="K134" i="2"/>
  <c r="L134" i="2"/>
  <c r="M134" i="2"/>
  <c r="N134" i="2"/>
  <c r="O134" i="2"/>
  <c r="P134" i="2"/>
  <c r="Q134" i="2"/>
  <c r="J135" i="2"/>
  <c r="K135" i="2"/>
  <c r="L135" i="2"/>
  <c r="M135" i="2"/>
  <c r="N135" i="2"/>
  <c r="O135" i="2"/>
  <c r="P135" i="2"/>
  <c r="Q135" i="2"/>
  <c r="J136" i="2"/>
  <c r="K136" i="2"/>
  <c r="L136" i="2"/>
  <c r="M136" i="2"/>
  <c r="N136" i="2"/>
  <c r="O136" i="2"/>
  <c r="P136" i="2"/>
  <c r="Q136" i="2"/>
  <c r="J137" i="2"/>
  <c r="K137" i="2"/>
  <c r="L137" i="2"/>
  <c r="M137" i="2"/>
  <c r="N137" i="2"/>
  <c r="O137" i="2"/>
  <c r="P137" i="2"/>
  <c r="Q137" i="2"/>
  <c r="J138" i="2"/>
  <c r="K138" i="2"/>
  <c r="L138" i="2"/>
  <c r="M138" i="2"/>
  <c r="N138" i="2"/>
  <c r="O138" i="2"/>
  <c r="P138" i="2"/>
  <c r="Q138" i="2"/>
  <c r="J139" i="2"/>
  <c r="K139" i="2"/>
  <c r="L139" i="2"/>
  <c r="M139" i="2"/>
  <c r="N139" i="2"/>
  <c r="O139" i="2"/>
  <c r="P139" i="2"/>
  <c r="Q139" i="2"/>
  <c r="J140" i="2"/>
  <c r="K140" i="2"/>
  <c r="L140" i="2"/>
  <c r="M140" i="2"/>
  <c r="N140" i="2"/>
  <c r="O140" i="2"/>
  <c r="P140" i="2"/>
  <c r="Q140" i="2"/>
  <c r="J141" i="2"/>
  <c r="K141" i="2"/>
  <c r="L141" i="2"/>
  <c r="M141" i="2"/>
  <c r="N141" i="2"/>
  <c r="O141" i="2"/>
  <c r="P141" i="2"/>
  <c r="Q141" i="2"/>
  <c r="J142" i="2"/>
  <c r="K142" i="2"/>
  <c r="L142" i="2"/>
  <c r="M142" i="2"/>
  <c r="N142" i="2"/>
  <c r="O142" i="2"/>
  <c r="P142" i="2"/>
  <c r="Q142" i="2"/>
  <c r="J143" i="2"/>
  <c r="K143" i="2"/>
  <c r="L143" i="2"/>
  <c r="M143" i="2"/>
  <c r="N143" i="2"/>
  <c r="O143" i="2"/>
  <c r="P143" i="2"/>
  <c r="Q143" i="2"/>
  <c r="J144" i="2"/>
  <c r="K144" i="2"/>
  <c r="L144" i="2"/>
  <c r="M144" i="2"/>
  <c r="N144" i="2"/>
  <c r="O144" i="2"/>
  <c r="P144" i="2"/>
  <c r="Q144" i="2"/>
  <c r="J145" i="2"/>
  <c r="K145" i="2"/>
  <c r="L145" i="2"/>
  <c r="M145" i="2"/>
  <c r="N145" i="2"/>
  <c r="O145" i="2"/>
  <c r="P145" i="2"/>
  <c r="Q145" i="2"/>
  <c r="J146" i="2"/>
  <c r="K146" i="2"/>
  <c r="L146" i="2"/>
  <c r="M146" i="2"/>
  <c r="N146" i="2"/>
  <c r="O146" i="2"/>
  <c r="P146" i="2"/>
  <c r="Q146" i="2"/>
  <c r="J147" i="2"/>
  <c r="K147" i="2"/>
  <c r="L147" i="2"/>
  <c r="M147" i="2"/>
  <c r="N147" i="2"/>
  <c r="O147" i="2"/>
  <c r="P147" i="2"/>
  <c r="Q147" i="2"/>
  <c r="J148" i="2"/>
  <c r="K148" i="2"/>
  <c r="L148" i="2"/>
  <c r="M148" i="2"/>
  <c r="N148" i="2"/>
  <c r="O148" i="2"/>
  <c r="P148" i="2"/>
  <c r="Q148" i="2"/>
  <c r="J149" i="2"/>
  <c r="K149" i="2"/>
  <c r="L149" i="2"/>
  <c r="M149" i="2"/>
  <c r="N149" i="2"/>
  <c r="O149" i="2"/>
  <c r="P149" i="2"/>
  <c r="Q149" i="2"/>
  <c r="J150" i="2"/>
  <c r="K150" i="2"/>
  <c r="L150" i="2"/>
  <c r="M150" i="2"/>
  <c r="N150" i="2"/>
  <c r="O150" i="2"/>
  <c r="P150" i="2"/>
  <c r="Q150" i="2"/>
  <c r="J151" i="2"/>
  <c r="K151" i="2"/>
  <c r="L151" i="2"/>
  <c r="M151" i="2"/>
  <c r="N151" i="2"/>
  <c r="O151" i="2"/>
  <c r="P151" i="2"/>
  <c r="Q151" i="2"/>
  <c r="J152" i="2"/>
  <c r="K152" i="2"/>
  <c r="L152" i="2"/>
  <c r="M152" i="2"/>
  <c r="N152" i="2"/>
  <c r="O152" i="2"/>
  <c r="P152" i="2"/>
  <c r="Q152" i="2"/>
  <c r="J153" i="2"/>
  <c r="K153" i="2"/>
  <c r="L153" i="2"/>
  <c r="M153" i="2"/>
  <c r="N153" i="2"/>
  <c r="O153" i="2"/>
  <c r="P153" i="2"/>
  <c r="Q153" i="2"/>
  <c r="J154" i="2"/>
  <c r="K154" i="2"/>
  <c r="L154" i="2"/>
  <c r="M154" i="2"/>
  <c r="N154" i="2"/>
  <c r="O154" i="2"/>
  <c r="P154" i="2"/>
  <c r="Q154" i="2"/>
  <c r="J155" i="2"/>
  <c r="K155" i="2"/>
  <c r="L155" i="2"/>
  <c r="M155" i="2"/>
  <c r="N155" i="2"/>
  <c r="O155" i="2"/>
  <c r="P155" i="2"/>
  <c r="Q155" i="2"/>
  <c r="J156" i="2"/>
  <c r="K156" i="2"/>
  <c r="L156" i="2"/>
  <c r="M156" i="2"/>
  <c r="N156" i="2"/>
  <c r="O156" i="2"/>
  <c r="P156" i="2"/>
  <c r="Q156" i="2"/>
  <c r="J157" i="2"/>
  <c r="K157" i="2"/>
  <c r="L157" i="2"/>
  <c r="M157" i="2"/>
  <c r="N157" i="2"/>
  <c r="O157" i="2"/>
  <c r="P157" i="2"/>
  <c r="Q157" i="2"/>
  <c r="J158" i="2"/>
  <c r="K158" i="2"/>
  <c r="L158" i="2"/>
  <c r="M158" i="2"/>
  <c r="N158" i="2"/>
  <c r="O158" i="2"/>
  <c r="P158" i="2"/>
  <c r="Q158" i="2"/>
  <c r="J159" i="2"/>
  <c r="K159" i="2"/>
  <c r="L159" i="2"/>
  <c r="M159" i="2"/>
  <c r="N159" i="2"/>
  <c r="O159" i="2"/>
  <c r="P159" i="2"/>
  <c r="Q159" i="2"/>
  <c r="J160" i="2"/>
  <c r="K160" i="2"/>
  <c r="L160" i="2"/>
  <c r="M160" i="2"/>
  <c r="N160" i="2"/>
  <c r="O160" i="2"/>
  <c r="P160" i="2"/>
  <c r="Q160" i="2"/>
  <c r="J161" i="2"/>
  <c r="K161" i="2"/>
  <c r="L161" i="2"/>
  <c r="M161" i="2"/>
  <c r="N161" i="2"/>
  <c r="O161" i="2"/>
  <c r="P161" i="2"/>
  <c r="Q161" i="2"/>
  <c r="J162" i="2"/>
  <c r="K162" i="2"/>
  <c r="L162" i="2"/>
  <c r="M162" i="2"/>
  <c r="N162" i="2"/>
  <c r="O162" i="2"/>
  <c r="P162" i="2"/>
  <c r="Q162" i="2"/>
  <c r="J163" i="2"/>
  <c r="K163" i="2"/>
  <c r="L163" i="2"/>
  <c r="M163" i="2"/>
  <c r="N163" i="2"/>
  <c r="O163" i="2"/>
  <c r="P163" i="2"/>
  <c r="Q163" i="2"/>
  <c r="J164" i="2"/>
  <c r="K164" i="2"/>
  <c r="L164" i="2"/>
  <c r="M164" i="2"/>
  <c r="N164" i="2"/>
  <c r="O164" i="2"/>
  <c r="P164" i="2"/>
  <c r="Q164" i="2"/>
  <c r="J165" i="2"/>
  <c r="K165" i="2"/>
  <c r="L165" i="2"/>
  <c r="M165" i="2"/>
  <c r="N165" i="2"/>
  <c r="O165" i="2"/>
  <c r="P165" i="2"/>
  <c r="Q165" i="2"/>
  <c r="J166" i="2"/>
  <c r="K166" i="2"/>
  <c r="L166" i="2"/>
  <c r="M166" i="2"/>
  <c r="N166" i="2"/>
  <c r="O166" i="2"/>
  <c r="P166" i="2"/>
  <c r="Q166" i="2"/>
  <c r="J167" i="2"/>
  <c r="K167" i="2"/>
  <c r="L167" i="2"/>
  <c r="M167" i="2"/>
  <c r="N167" i="2"/>
  <c r="O167" i="2"/>
  <c r="P167" i="2"/>
  <c r="Q167" i="2"/>
  <c r="J168" i="2"/>
  <c r="K168" i="2"/>
  <c r="L168" i="2"/>
  <c r="M168" i="2"/>
  <c r="N168" i="2"/>
  <c r="O168" i="2"/>
  <c r="P168" i="2"/>
  <c r="Q168" i="2"/>
  <c r="J169" i="2"/>
  <c r="K169" i="2"/>
  <c r="L169" i="2"/>
  <c r="M169" i="2"/>
  <c r="N169" i="2"/>
  <c r="O169" i="2"/>
  <c r="P169" i="2"/>
  <c r="Q169" i="2"/>
  <c r="J170" i="2"/>
  <c r="K170" i="2"/>
  <c r="L170" i="2"/>
  <c r="M170" i="2"/>
  <c r="N170" i="2"/>
  <c r="O170" i="2"/>
  <c r="P170" i="2"/>
  <c r="Q170" i="2"/>
  <c r="J171" i="2"/>
  <c r="K171" i="2"/>
  <c r="L171" i="2"/>
  <c r="M171" i="2"/>
  <c r="N171" i="2"/>
  <c r="O171" i="2"/>
  <c r="P171" i="2"/>
  <c r="Q171" i="2"/>
  <c r="J172" i="2"/>
  <c r="K172" i="2"/>
  <c r="L172" i="2"/>
  <c r="M172" i="2"/>
  <c r="N172" i="2"/>
  <c r="O172" i="2"/>
  <c r="P172" i="2"/>
  <c r="Q172" i="2"/>
  <c r="J173" i="2"/>
  <c r="K173" i="2"/>
  <c r="L173" i="2"/>
  <c r="M173" i="2"/>
  <c r="N173" i="2"/>
  <c r="O173" i="2"/>
  <c r="P173" i="2"/>
  <c r="Q173" i="2"/>
  <c r="J174" i="2"/>
  <c r="K174" i="2"/>
  <c r="L174" i="2"/>
  <c r="M174" i="2"/>
  <c r="N174" i="2"/>
  <c r="O174" i="2"/>
  <c r="P174" i="2"/>
  <c r="Q174" i="2"/>
  <c r="J175" i="2"/>
  <c r="K175" i="2"/>
  <c r="L175" i="2"/>
  <c r="M175" i="2"/>
  <c r="N175" i="2"/>
  <c r="O175" i="2"/>
  <c r="P175" i="2"/>
  <c r="Q175" i="2"/>
  <c r="J176" i="2"/>
  <c r="K176" i="2"/>
  <c r="L176" i="2"/>
  <c r="M176" i="2"/>
  <c r="N176" i="2"/>
  <c r="O176" i="2"/>
  <c r="P176" i="2"/>
  <c r="Q176" i="2"/>
  <c r="J177" i="2"/>
  <c r="K177" i="2"/>
  <c r="L177" i="2"/>
  <c r="M177" i="2"/>
  <c r="N177" i="2"/>
  <c r="O177" i="2"/>
  <c r="P177" i="2"/>
  <c r="Q177" i="2"/>
  <c r="J178" i="2"/>
  <c r="K178" i="2"/>
  <c r="L178" i="2"/>
  <c r="M178" i="2"/>
  <c r="N178" i="2"/>
  <c r="O178" i="2"/>
  <c r="P178" i="2"/>
  <c r="Q178" i="2"/>
  <c r="J179" i="2"/>
  <c r="K179" i="2"/>
  <c r="L179" i="2"/>
  <c r="M179" i="2"/>
  <c r="N179" i="2"/>
  <c r="O179" i="2"/>
  <c r="P179" i="2"/>
  <c r="Q179" i="2"/>
  <c r="J180" i="2"/>
  <c r="K180" i="2"/>
  <c r="L180" i="2"/>
  <c r="M180" i="2"/>
  <c r="N180" i="2"/>
  <c r="O180" i="2"/>
  <c r="P180" i="2"/>
  <c r="Q180" i="2"/>
  <c r="J181" i="2"/>
  <c r="K181" i="2"/>
  <c r="L181" i="2"/>
  <c r="M181" i="2"/>
  <c r="N181" i="2"/>
  <c r="O181" i="2"/>
  <c r="P181" i="2"/>
  <c r="Q181" i="2"/>
  <c r="J182" i="2"/>
  <c r="K182" i="2"/>
  <c r="L182" i="2"/>
  <c r="M182" i="2"/>
  <c r="N182" i="2"/>
  <c r="O182" i="2"/>
  <c r="P182" i="2"/>
  <c r="Q182" i="2"/>
  <c r="J183" i="2"/>
  <c r="K183" i="2"/>
  <c r="L183" i="2"/>
  <c r="M183" i="2"/>
  <c r="N183" i="2"/>
  <c r="O183" i="2"/>
  <c r="P183" i="2"/>
  <c r="Q183" i="2"/>
  <c r="J184" i="2"/>
  <c r="K184" i="2"/>
  <c r="L184" i="2"/>
  <c r="M184" i="2"/>
  <c r="N184" i="2"/>
  <c r="O184" i="2"/>
  <c r="P184" i="2"/>
  <c r="Q184" i="2"/>
  <c r="J185" i="2"/>
  <c r="K185" i="2"/>
  <c r="L185" i="2"/>
  <c r="M185" i="2"/>
  <c r="N185" i="2"/>
  <c r="O185" i="2"/>
  <c r="P185" i="2"/>
  <c r="Q185" i="2"/>
  <c r="J186" i="2"/>
  <c r="K186" i="2"/>
  <c r="L186" i="2"/>
  <c r="M186" i="2"/>
  <c r="N186" i="2"/>
  <c r="O186" i="2"/>
  <c r="P186" i="2"/>
  <c r="Q186" i="2"/>
  <c r="J187" i="2"/>
  <c r="K187" i="2"/>
  <c r="L187" i="2"/>
  <c r="M187" i="2"/>
  <c r="N187" i="2"/>
  <c r="O187" i="2"/>
  <c r="P187" i="2"/>
  <c r="Q187" i="2"/>
  <c r="J188" i="2"/>
  <c r="K188" i="2"/>
  <c r="L188" i="2"/>
  <c r="M188" i="2"/>
  <c r="N188" i="2"/>
  <c r="O188" i="2"/>
  <c r="P188" i="2"/>
  <c r="Q188" i="2"/>
  <c r="J189" i="2"/>
  <c r="K189" i="2"/>
  <c r="L189" i="2"/>
  <c r="M189" i="2"/>
  <c r="N189" i="2"/>
  <c r="O189" i="2"/>
  <c r="P189" i="2"/>
  <c r="Q189" i="2"/>
  <c r="J190" i="2"/>
  <c r="K190" i="2"/>
  <c r="L190" i="2"/>
  <c r="M190" i="2"/>
  <c r="N190" i="2"/>
  <c r="O190" i="2"/>
  <c r="P190" i="2"/>
  <c r="Q190" i="2"/>
  <c r="J191" i="2"/>
  <c r="K191" i="2"/>
  <c r="L191" i="2"/>
  <c r="M191" i="2"/>
  <c r="N191" i="2"/>
  <c r="O191" i="2"/>
  <c r="P191" i="2"/>
  <c r="Q191" i="2"/>
  <c r="J192" i="2"/>
  <c r="K192" i="2"/>
  <c r="L192" i="2"/>
  <c r="M192" i="2"/>
  <c r="N192" i="2"/>
  <c r="O192" i="2"/>
  <c r="P192" i="2"/>
  <c r="Q192" i="2"/>
  <c r="J193" i="2"/>
  <c r="K193" i="2"/>
  <c r="L193" i="2"/>
  <c r="M193" i="2"/>
  <c r="N193" i="2"/>
  <c r="O193" i="2"/>
  <c r="P193" i="2"/>
  <c r="Q193" i="2"/>
  <c r="J194" i="2"/>
  <c r="K194" i="2"/>
  <c r="L194" i="2"/>
  <c r="M194" i="2"/>
  <c r="N194" i="2"/>
  <c r="O194" i="2"/>
  <c r="P194" i="2"/>
  <c r="Q194" i="2"/>
  <c r="J195" i="2"/>
  <c r="K195" i="2"/>
  <c r="L195" i="2"/>
  <c r="M195" i="2"/>
  <c r="N195" i="2"/>
  <c r="O195" i="2"/>
  <c r="P195" i="2"/>
  <c r="Q195" i="2"/>
  <c r="J196" i="2"/>
  <c r="K196" i="2"/>
  <c r="L196" i="2"/>
  <c r="M196" i="2"/>
  <c r="N196" i="2"/>
  <c r="O196" i="2"/>
  <c r="P196" i="2"/>
  <c r="Q196" i="2"/>
  <c r="J197" i="2"/>
  <c r="K197" i="2"/>
  <c r="L197" i="2"/>
  <c r="M197" i="2"/>
  <c r="N197" i="2"/>
  <c r="O197" i="2"/>
  <c r="P197" i="2"/>
  <c r="Q197" i="2"/>
  <c r="J198" i="2"/>
  <c r="K198" i="2"/>
  <c r="L198" i="2"/>
  <c r="M198" i="2"/>
  <c r="N198" i="2"/>
  <c r="O198" i="2"/>
  <c r="P198" i="2"/>
  <c r="Q198" i="2"/>
  <c r="J199" i="2"/>
  <c r="K199" i="2"/>
  <c r="L199" i="2"/>
  <c r="M199" i="2"/>
  <c r="N199" i="2"/>
  <c r="O199" i="2"/>
  <c r="P199" i="2"/>
  <c r="Q199" i="2"/>
  <c r="J200" i="2"/>
  <c r="K200" i="2"/>
  <c r="L200" i="2"/>
  <c r="M200" i="2"/>
  <c r="N200" i="2"/>
  <c r="O200" i="2"/>
  <c r="P200" i="2"/>
  <c r="Q200" i="2"/>
  <c r="J201" i="2"/>
  <c r="K201" i="2"/>
  <c r="L201" i="2"/>
  <c r="M201" i="2"/>
  <c r="N201" i="2"/>
  <c r="O201" i="2"/>
  <c r="P201" i="2"/>
  <c r="Q201" i="2"/>
  <c r="J202" i="2"/>
  <c r="K202" i="2"/>
  <c r="L202" i="2"/>
  <c r="M202" i="2"/>
  <c r="N202" i="2"/>
  <c r="O202" i="2"/>
  <c r="P202" i="2"/>
  <c r="Q202" i="2"/>
  <c r="J203" i="2"/>
  <c r="K203" i="2"/>
  <c r="L203" i="2"/>
  <c r="M203" i="2"/>
  <c r="N203" i="2"/>
  <c r="O203" i="2"/>
  <c r="P203" i="2"/>
  <c r="Q203" i="2"/>
  <c r="J204" i="2"/>
  <c r="K204" i="2"/>
  <c r="L204" i="2"/>
  <c r="M204" i="2"/>
  <c r="N204" i="2"/>
  <c r="O204" i="2"/>
  <c r="P204" i="2"/>
  <c r="Q204" i="2"/>
  <c r="J205" i="2"/>
  <c r="K205" i="2"/>
  <c r="L205" i="2"/>
  <c r="M205" i="2"/>
  <c r="N205" i="2"/>
  <c r="O205" i="2"/>
  <c r="P205" i="2"/>
  <c r="Q205" i="2"/>
  <c r="J206" i="2"/>
  <c r="K206" i="2"/>
  <c r="L206" i="2"/>
  <c r="M206" i="2"/>
  <c r="N206" i="2"/>
  <c r="O206" i="2"/>
  <c r="P206" i="2"/>
  <c r="Q206" i="2"/>
  <c r="J207" i="2"/>
  <c r="K207" i="2"/>
  <c r="L207" i="2"/>
  <c r="M207" i="2"/>
  <c r="N207" i="2"/>
  <c r="O207" i="2"/>
  <c r="P207" i="2"/>
  <c r="Q207" i="2"/>
  <c r="J208" i="2"/>
  <c r="K208" i="2"/>
  <c r="L208" i="2"/>
  <c r="M208" i="2"/>
  <c r="N208" i="2"/>
  <c r="O208" i="2"/>
  <c r="P208" i="2"/>
  <c r="Q208" i="2"/>
  <c r="J209" i="2"/>
  <c r="K209" i="2"/>
  <c r="L209" i="2"/>
  <c r="M209" i="2"/>
  <c r="N209" i="2"/>
  <c r="O209" i="2"/>
  <c r="P209" i="2"/>
  <c r="Q209" i="2"/>
  <c r="J210" i="2"/>
  <c r="K210" i="2"/>
  <c r="L210" i="2"/>
  <c r="M210" i="2"/>
  <c r="N210" i="2"/>
  <c r="O210" i="2"/>
  <c r="P210" i="2"/>
  <c r="Q210" i="2"/>
  <c r="J211" i="2"/>
  <c r="K211" i="2"/>
  <c r="L211" i="2"/>
  <c r="M211" i="2"/>
  <c r="N211" i="2"/>
  <c r="O211" i="2"/>
  <c r="P211" i="2"/>
  <c r="Q211" i="2"/>
  <c r="J212" i="2"/>
  <c r="K212" i="2"/>
  <c r="L212" i="2"/>
  <c r="M212" i="2"/>
  <c r="N212" i="2"/>
  <c r="O212" i="2"/>
  <c r="P212" i="2"/>
  <c r="Q212" i="2"/>
  <c r="J213" i="2"/>
  <c r="K213" i="2"/>
  <c r="L213" i="2"/>
  <c r="M213" i="2"/>
  <c r="N213" i="2"/>
  <c r="O213" i="2"/>
  <c r="P213" i="2"/>
  <c r="Q213" i="2"/>
  <c r="J214" i="2"/>
  <c r="K214" i="2"/>
  <c r="L214" i="2"/>
  <c r="M214" i="2"/>
  <c r="N214" i="2"/>
  <c r="O214" i="2"/>
  <c r="P214" i="2"/>
  <c r="Q214" i="2"/>
  <c r="J215" i="2"/>
  <c r="K215" i="2"/>
  <c r="L215" i="2"/>
  <c r="M215" i="2"/>
  <c r="N215" i="2"/>
  <c r="O215" i="2"/>
  <c r="P215" i="2"/>
  <c r="Q215" i="2"/>
  <c r="J216" i="2"/>
  <c r="K216" i="2"/>
  <c r="L216" i="2"/>
  <c r="M216" i="2"/>
  <c r="N216" i="2"/>
  <c r="O216" i="2"/>
  <c r="P216" i="2"/>
  <c r="Q216" i="2"/>
  <c r="J217" i="2"/>
  <c r="K217" i="2"/>
  <c r="L217" i="2"/>
  <c r="M217" i="2"/>
  <c r="N217" i="2"/>
  <c r="O217" i="2"/>
  <c r="P217" i="2"/>
  <c r="Q217" i="2"/>
  <c r="J218" i="2"/>
  <c r="K218" i="2"/>
  <c r="L218" i="2"/>
  <c r="M218" i="2"/>
  <c r="N218" i="2"/>
  <c r="O218" i="2"/>
  <c r="P218" i="2"/>
  <c r="Q218" i="2"/>
  <c r="J219" i="2"/>
  <c r="K219" i="2"/>
  <c r="L219" i="2"/>
  <c r="M219" i="2"/>
  <c r="N219" i="2"/>
  <c r="O219" i="2"/>
  <c r="P219" i="2"/>
  <c r="Q219" i="2"/>
  <c r="J220" i="2"/>
  <c r="K220" i="2"/>
  <c r="L220" i="2"/>
  <c r="M220" i="2"/>
  <c r="N220" i="2"/>
  <c r="O220" i="2"/>
  <c r="P220" i="2"/>
  <c r="Q220" i="2"/>
  <c r="J221" i="2"/>
  <c r="K221" i="2"/>
  <c r="L221" i="2"/>
  <c r="M221" i="2"/>
  <c r="N221" i="2"/>
  <c r="O221" i="2"/>
  <c r="P221" i="2"/>
  <c r="Q221" i="2"/>
  <c r="J222" i="2"/>
  <c r="K222" i="2"/>
  <c r="L222" i="2"/>
  <c r="M222" i="2"/>
  <c r="N222" i="2"/>
  <c r="O222" i="2"/>
  <c r="P222" i="2"/>
  <c r="Q222" i="2"/>
  <c r="J223" i="2"/>
  <c r="K223" i="2"/>
  <c r="L223" i="2"/>
  <c r="M223" i="2"/>
  <c r="N223" i="2"/>
  <c r="O223" i="2"/>
  <c r="P223" i="2"/>
  <c r="Q223" i="2"/>
  <c r="J224" i="2"/>
  <c r="K224" i="2"/>
  <c r="L224" i="2"/>
  <c r="M224" i="2"/>
  <c r="N224" i="2"/>
  <c r="O224" i="2"/>
  <c r="P224" i="2"/>
  <c r="Q224" i="2"/>
  <c r="J225" i="2"/>
  <c r="K225" i="2"/>
  <c r="L225" i="2"/>
  <c r="M225" i="2"/>
  <c r="N225" i="2"/>
  <c r="O225" i="2"/>
  <c r="P225" i="2"/>
  <c r="Q225" i="2"/>
  <c r="J226" i="2"/>
  <c r="K226" i="2"/>
  <c r="L226" i="2"/>
  <c r="M226" i="2"/>
  <c r="N226" i="2"/>
  <c r="O226" i="2"/>
  <c r="P226" i="2"/>
  <c r="Q226" i="2"/>
  <c r="J227" i="2"/>
  <c r="K227" i="2"/>
  <c r="L227" i="2"/>
  <c r="M227" i="2"/>
  <c r="N227" i="2"/>
  <c r="O227" i="2"/>
  <c r="P227" i="2"/>
  <c r="Q227" i="2"/>
  <c r="J228" i="2"/>
  <c r="K228" i="2"/>
  <c r="L228" i="2"/>
  <c r="M228" i="2"/>
  <c r="N228" i="2"/>
  <c r="O228" i="2"/>
  <c r="P228" i="2"/>
  <c r="Q228" i="2"/>
  <c r="J229" i="2"/>
  <c r="K229" i="2"/>
  <c r="L229" i="2"/>
  <c r="M229" i="2"/>
  <c r="N229" i="2"/>
  <c r="O229" i="2"/>
  <c r="P229" i="2"/>
  <c r="Q229" i="2"/>
  <c r="J230" i="2"/>
  <c r="K230" i="2"/>
  <c r="L230" i="2"/>
  <c r="M230" i="2"/>
  <c r="N230" i="2"/>
  <c r="O230" i="2"/>
  <c r="P230" i="2"/>
  <c r="Q230" i="2"/>
  <c r="J231" i="2"/>
  <c r="K231" i="2"/>
  <c r="L231" i="2"/>
  <c r="M231" i="2"/>
  <c r="N231" i="2"/>
  <c r="O231" i="2"/>
  <c r="P231" i="2"/>
  <c r="Q231" i="2"/>
  <c r="J232" i="2"/>
  <c r="K232" i="2"/>
  <c r="L232" i="2"/>
  <c r="M232" i="2"/>
  <c r="N232" i="2"/>
  <c r="O232" i="2"/>
  <c r="P232" i="2"/>
  <c r="Q232" i="2"/>
  <c r="J233" i="2"/>
  <c r="K233" i="2"/>
  <c r="L233" i="2"/>
  <c r="M233" i="2"/>
  <c r="N233" i="2"/>
  <c r="O233" i="2"/>
  <c r="P233" i="2"/>
  <c r="Q233" i="2"/>
  <c r="J234" i="2"/>
  <c r="K234" i="2"/>
  <c r="L234" i="2"/>
  <c r="M234" i="2"/>
  <c r="N234" i="2"/>
  <c r="O234" i="2"/>
  <c r="P234" i="2"/>
  <c r="Q234" i="2"/>
  <c r="J235" i="2"/>
  <c r="K235" i="2"/>
  <c r="L235" i="2"/>
  <c r="M235" i="2"/>
  <c r="N235" i="2"/>
  <c r="O235" i="2"/>
  <c r="P235" i="2"/>
  <c r="Q235" i="2"/>
  <c r="J236" i="2"/>
  <c r="K236" i="2"/>
  <c r="L236" i="2"/>
  <c r="M236" i="2"/>
  <c r="N236" i="2"/>
  <c r="O236" i="2"/>
  <c r="P236" i="2"/>
  <c r="Q236" i="2"/>
  <c r="J237" i="2"/>
  <c r="K237" i="2"/>
  <c r="L237" i="2"/>
  <c r="M237" i="2"/>
  <c r="N237" i="2"/>
  <c r="O237" i="2"/>
  <c r="P237" i="2"/>
  <c r="Q237" i="2"/>
  <c r="J238" i="2"/>
  <c r="K238" i="2"/>
  <c r="L238" i="2"/>
  <c r="M238" i="2"/>
  <c r="N238" i="2"/>
  <c r="O238" i="2"/>
  <c r="P238" i="2"/>
  <c r="Q238" i="2"/>
  <c r="J239" i="2"/>
  <c r="K239" i="2"/>
  <c r="L239" i="2"/>
  <c r="M239" i="2"/>
  <c r="N239" i="2"/>
  <c r="O239" i="2"/>
  <c r="P239" i="2"/>
  <c r="Q239" i="2"/>
  <c r="J240" i="2"/>
  <c r="K240" i="2"/>
  <c r="L240" i="2"/>
  <c r="M240" i="2"/>
  <c r="N240" i="2"/>
  <c r="O240" i="2"/>
  <c r="P240" i="2"/>
  <c r="Q240" i="2"/>
  <c r="J241" i="2"/>
  <c r="K241" i="2"/>
  <c r="L241" i="2"/>
  <c r="M241" i="2"/>
  <c r="N241" i="2"/>
  <c r="O241" i="2"/>
  <c r="P241" i="2"/>
  <c r="Q241" i="2"/>
  <c r="J242" i="2"/>
  <c r="K242" i="2"/>
  <c r="L242" i="2"/>
  <c r="M242" i="2"/>
  <c r="N242" i="2"/>
  <c r="O242" i="2"/>
  <c r="P242" i="2"/>
  <c r="Q242" i="2"/>
  <c r="J243" i="2"/>
  <c r="K243" i="2"/>
  <c r="L243" i="2"/>
  <c r="M243" i="2"/>
  <c r="N243" i="2"/>
  <c r="O243" i="2"/>
  <c r="P243" i="2"/>
  <c r="Q243" i="2"/>
  <c r="J244" i="2"/>
  <c r="K244" i="2"/>
  <c r="L244" i="2"/>
  <c r="M244" i="2"/>
  <c r="N244" i="2"/>
  <c r="O244" i="2"/>
  <c r="P244" i="2"/>
  <c r="Q244" i="2"/>
  <c r="J245" i="2"/>
  <c r="K245" i="2"/>
  <c r="L245" i="2"/>
  <c r="M245" i="2"/>
  <c r="N245" i="2"/>
  <c r="O245" i="2"/>
  <c r="P245" i="2"/>
  <c r="Q245" i="2"/>
  <c r="J246" i="2"/>
  <c r="K246" i="2"/>
  <c r="L246" i="2"/>
  <c r="M246" i="2"/>
  <c r="N246" i="2"/>
  <c r="O246" i="2"/>
  <c r="P246" i="2"/>
  <c r="Q246" i="2"/>
  <c r="J247" i="2"/>
  <c r="K247" i="2"/>
  <c r="L247" i="2"/>
  <c r="M247" i="2"/>
  <c r="N247" i="2"/>
  <c r="O247" i="2"/>
  <c r="P247" i="2"/>
  <c r="Q247" i="2"/>
  <c r="J248" i="2"/>
  <c r="K248" i="2"/>
  <c r="L248" i="2"/>
  <c r="M248" i="2"/>
  <c r="N248" i="2"/>
  <c r="O248" i="2"/>
  <c r="P248" i="2"/>
  <c r="Q248" i="2"/>
  <c r="J249" i="2"/>
  <c r="K249" i="2"/>
  <c r="L249" i="2"/>
  <c r="M249" i="2"/>
  <c r="N249" i="2"/>
  <c r="O249" i="2"/>
  <c r="P249" i="2"/>
  <c r="Q249" i="2"/>
  <c r="J250" i="2"/>
  <c r="K250" i="2"/>
  <c r="L250" i="2"/>
  <c r="M250" i="2"/>
  <c r="N250" i="2"/>
  <c r="O250" i="2"/>
  <c r="P250" i="2"/>
  <c r="Q250" i="2"/>
  <c r="J251" i="2"/>
  <c r="K251" i="2"/>
  <c r="L251" i="2"/>
  <c r="M251" i="2"/>
  <c r="N251" i="2"/>
  <c r="O251" i="2"/>
  <c r="P251" i="2"/>
  <c r="Q251" i="2"/>
  <c r="J252" i="2"/>
  <c r="K252" i="2"/>
  <c r="L252" i="2"/>
  <c r="M252" i="2"/>
  <c r="N252" i="2"/>
  <c r="O252" i="2"/>
  <c r="P252" i="2"/>
  <c r="Q252" i="2"/>
  <c r="J253" i="2"/>
  <c r="K253" i="2"/>
  <c r="L253" i="2"/>
  <c r="M253" i="2"/>
  <c r="N253" i="2"/>
  <c r="O253" i="2"/>
  <c r="P253" i="2"/>
  <c r="Q253" i="2"/>
  <c r="J254" i="2"/>
  <c r="K254" i="2"/>
  <c r="L254" i="2"/>
  <c r="M254" i="2"/>
  <c r="N254" i="2"/>
  <c r="O254" i="2"/>
  <c r="P254" i="2"/>
  <c r="Q254" i="2"/>
  <c r="J255" i="2"/>
  <c r="K255" i="2"/>
  <c r="L255" i="2"/>
  <c r="M255" i="2"/>
  <c r="N255" i="2"/>
  <c r="O255" i="2"/>
  <c r="P255" i="2"/>
  <c r="Q255" i="2"/>
  <c r="J256" i="2"/>
  <c r="K256" i="2"/>
  <c r="L256" i="2"/>
  <c r="M256" i="2"/>
  <c r="N256" i="2"/>
  <c r="O256" i="2"/>
  <c r="P256" i="2"/>
  <c r="Q256" i="2"/>
  <c r="J257" i="2"/>
  <c r="K257" i="2"/>
  <c r="L257" i="2"/>
  <c r="M257" i="2"/>
  <c r="N257" i="2"/>
  <c r="O257" i="2"/>
  <c r="P257" i="2"/>
  <c r="Q257" i="2"/>
  <c r="Q2" i="2"/>
  <c r="P2" i="2"/>
  <c r="O2" i="2"/>
  <c r="C1" i="1"/>
  <c r="B19" i="1" l="1"/>
  <c r="B2" i="1" l="1" a="1"/>
  <c r="B2" i="1" s="1"/>
  <c r="G2" i="1" s="1"/>
  <c r="B3" i="1" a="1"/>
  <c r="B3" i="1" s="1"/>
  <c r="G3" i="1" s="1"/>
  <c r="B4" i="1" a="1"/>
  <c r="B4" i="1" s="1"/>
  <c r="G4" i="1" s="1"/>
  <c r="B5" i="1" a="1"/>
  <c r="B5" i="1" s="1"/>
  <c r="H5" i="1" s="1"/>
  <c r="B6" i="1" a="1"/>
  <c r="B6" i="1" s="1"/>
  <c r="G6" i="1" s="1"/>
  <c r="B7" i="1" a="1"/>
  <c r="B7" i="1" s="1"/>
  <c r="H7" i="1" s="1"/>
  <c r="B8" i="1" a="1"/>
  <c r="B8" i="1" s="1"/>
  <c r="H8" i="1" s="1"/>
  <c r="B9" i="1" a="1"/>
  <c r="B9" i="1" s="1"/>
  <c r="H9" i="1" s="1"/>
  <c r="N2" i="2"/>
  <c r="M2" i="2"/>
  <c r="L2" i="2"/>
  <c r="K2" i="2"/>
  <c r="J2" i="2"/>
  <c r="F2" i="1"/>
  <c r="F3" i="1"/>
  <c r="F4" i="1"/>
  <c r="F5" i="1"/>
  <c r="F6" i="1"/>
  <c r="F7" i="1"/>
  <c r="F8" i="1"/>
  <c r="F9" i="1"/>
  <c r="AK3" i="2" l="1"/>
  <c r="AK5" i="2"/>
  <c r="AK7" i="2"/>
  <c r="AK9" i="2"/>
  <c r="AK11" i="2"/>
  <c r="AK13" i="2"/>
  <c r="AK15" i="2"/>
  <c r="AK17" i="2"/>
  <c r="AK19" i="2"/>
  <c r="AK21" i="2"/>
  <c r="AK23" i="2"/>
  <c r="AK25" i="2"/>
  <c r="AK27" i="2"/>
  <c r="AK29" i="2"/>
  <c r="AK31" i="2"/>
  <c r="AK33" i="2"/>
  <c r="AK35" i="2"/>
  <c r="AK37" i="2"/>
  <c r="AK39" i="2"/>
  <c r="AK41" i="2"/>
  <c r="AK43" i="2"/>
  <c r="AK45" i="2"/>
  <c r="AK47" i="2"/>
  <c r="AK49" i="2"/>
  <c r="AK51" i="2"/>
  <c r="AK53" i="2"/>
  <c r="AK55" i="2"/>
  <c r="AK57" i="2"/>
  <c r="AK59" i="2"/>
  <c r="AK61" i="2"/>
  <c r="AK63" i="2"/>
  <c r="AK65" i="2"/>
  <c r="AK67" i="2"/>
  <c r="AK69" i="2"/>
  <c r="AK71" i="2"/>
  <c r="AK73" i="2"/>
  <c r="AK75" i="2"/>
  <c r="AK77" i="2"/>
  <c r="AK79" i="2"/>
  <c r="AK81" i="2"/>
  <c r="AK83" i="2"/>
  <c r="AK85" i="2"/>
  <c r="AK87" i="2"/>
  <c r="AK89" i="2"/>
  <c r="AK91" i="2"/>
  <c r="AK93" i="2"/>
  <c r="AK95" i="2"/>
  <c r="AK97" i="2"/>
  <c r="AK99" i="2"/>
  <c r="AK101" i="2"/>
  <c r="AK103" i="2"/>
  <c r="AK105" i="2"/>
  <c r="AK107" i="2"/>
  <c r="AK109" i="2"/>
  <c r="AK111" i="2"/>
  <c r="AK113" i="2"/>
  <c r="AK115" i="2"/>
  <c r="AK117" i="2"/>
  <c r="AK119" i="2"/>
  <c r="AK121" i="2"/>
  <c r="AK123" i="2"/>
  <c r="AK125" i="2"/>
  <c r="AK127" i="2"/>
  <c r="AK129" i="2"/>
  <c r="AK131" i="2"/>
  <c r="AK133" i="2"/>
  <c r="AK135" i="2"/>
  <c r="AK137" i="2"/>
  <c r="AK139" i="2"/>
  <c r="AK141" i="2"/>
  <c r="AK143" i="2"/>
  <c r="AK145" i="2"/>
  <c r="AK147" i="2"/>
  <c r="AK149" i="2"/>
  <c r="AK151" i="2"/>
  <c r="AK153" i="2"/>
  <c r="AK155" i="2"/>
  <c r="AK157" i="2"/>
  <c r="AK159" i="2"/>
  <c r="AK161" i="2"/>
  <c r="AK163" i="2"/>
  <c r="AK165" i="2"/>
  <c r="AK167" i="2"/>
  <c r="AK169" i="2"/>
  <c r="AK171" i="2"/>
  <c r="AK146" i="2"/>
  <c r="AK134" i="2"/>
  <c r="AK4" i="2"/>
  <c r="AK14" i="2"/>
  <c r="AK22" i="2"/>
  <c r="AK30" i="2"/>
  <c r="AK38" i="2"/>
  <c r="AK46" i="2"/>
  <c r="AK54" i="2"/>
  <c r="AK62" i="2"/>
  <c r="AK70" i="2"/>
  <c r="AK78" i="2"/>
  <c r="AK86" i="2"/>
  <c r="AK94" i="2"/>
  <c r="AK102" i="2"/>
  <c r="AK110" i="2"/>
  <c r="AK118" i="2"/>
  <c r="AK126" i="2"/>
  <c r="AK140" i="2"/>
  <c r="AK164" i="2"/>
  <c r="AK6" i="2"/>
  <c r="AK162" i="2"/>
  <c r="AK154" i="2"/>
  <c r="AK160" i="2"/>
  <c r="AK8" i="2"/>
  <c r="AK16" i="2"/>
  <c r="AK24" i="2"/>
  <c r="AK32" i="2"/>
  <c r="AK40" i="2"/>
  <c r="AK48" i="2"/>
  <c r="AK56" i="2"/>
  <c r="AK64" i="2"/>
  <c r="AK72" i="2"/>
  <c r="AK80" i="2"/>
  <c r="AK88" i="2"/>
  <c r="AK96" i="2"/>
  <c r="AK104" i="2"/>
  <c r="AK112" i="2"/>
  <c r="AK120" i="2"/>
  <c r="AK128" i="2"/>
  <c r="AK148" i="2"/>
  <c r="AK173" i="2"/>
  <c r="AK175" i="2"/>
  <c r="AK177" i="2"/>
  <c r="AK179" i="2"/>
  <c r="AK181" i="2"/>
  <c r="AK183" i="2"/>
  <c r="AK185" i="2"/>
  <c r="AK187" i="2"/>
  <c r="AK189" i="2"/>
  <c r="AK191" i="2"/>
  <c r="AK193" i="2"/>
  <c r="AK195" i="2"/>
  <c r="AK197" i="2"/>
  <c r="AK199" i="2"/>
  <c r="AK201" i="2"/>
  <c r="AK203" i="2"/>
  <c r="AK205" i="2"/>
  <c r="AK207" i="2"/>
  <c r="AK209" i="2"/>
  <c r="AK211" i="2"/>
  <c r="AK213" i="2"/>
  <c r="AK215" i="2"/>
  <c r="AK217" i="2"/>
  <c r="AK219" i="2"/>
  <c r="AK221" i="2"/>
  <c r="AK223" i="2"/>
  <c r="AK225" i="2"/>
  <c r="AK227" i="2"/>
  <c r="AK229" i="2"/>
  <c r="AK231" i="2"/>
  <c r="AK233" i="2"/>
  <c r="AK235" i="2"/>
  <c r="AK237" i="2"/>
  <c r="AK239" i="2"/>
  <c r="AK241" i="2"/>
  <c r="AK243" i="2"/>
  <c r="AK245" i="2"/>
  <c r="AK247" i="2"/>
  <c r="AK249" i="2"/>
  <c r="AK251" i="2"/>
  <c r="AK253" i="2"/>
  <c r="AK255" i="2"/>
  <c r="AK257" i="2"/>
  <c r="AK150" i="2"/>
  <c r="AK142" i="2"/>
  <c r="AK170" i="2"/>
  <c r="AK2" i="2"/>
  <c r="AK136" i="2"/>
  <c r="AK166" i="2"/>
  <c r="AK10" i="2"/>
  <c r="AK18" i="2"/>
  <c r="AK26" i="2"/>
  <c r="AK34" i="2"/>
  <c r="AK42" i="2"/>
  <c r="AK50" i="2"/>
  <c r="AK58" i="2"/>
  <c r="AK66" i="2"/>
  <c r="AK74" i="2"/>
  <c r="AK82" i="2"/>
  <c r="AK90" i="2"/>
  <c r="AK98" i="2"/>
  <c r="AK106" i="2"/>
  <c r="AK114" i="2"/>
  <c r="AK122" i="2"/>
  <c r="AK130" i="2"/>
  <c r="AK156" i="2"/>
  <c r="AK144" i="2"/>
  <c r="AK138" i="2"/>
  <c r="AK12" i="2"/>
  <c r="AK20" i="2"/>
  <c r="AK28" i="2"/>
  <c r="AK36" i="2"/>
  <c r="AK44" i="2"/>
  <c r="AK52" i="2"/>
  <c r="AK60" i="2"/>
  <c r="AK68" i="2"/>
  <c r="AK76" i="2"/>
  <c r="AK84" i="2"/>
  <c r="AK92" i="2"/>
  <c r="AK100" i="2"/>
  <c r="AK108" i="2"/>
  <c r="AK116" i="2"/>
  <c r="AK124" i="2"/>
  <c r="AK132" i="2"/>
  <c r="AK172" i="2"/>
  <c r="AK174" i="2"/>
  <c r="AK176" i="2"/>
  <c r="AK178" i="2"/>
  <c r="AK180" i="2"/>
  <c r="AK182" i="2"/>
  <c r="AK184" i="2"/>
  <c r="AK186" i="2"/>
  <c r="AK188" i="2"/>
  <c r="AK190" i="2"/>
  <c r="AK192" i="2"/>
  <c r="AK194" i="2"/>
  <c r="AK196" i="2"/>
  <c r="AK198" i="2"/>
  <c r="AK200" i="2"/>
  <c r="AK202" i="2"/>
  <c r="AK204" i="2"/>
  <c r="AK206" i="2"/>
  <c r="AK208" i="2"/>
  <c r="AK210" i="2"/>
  <c r="AK212" i="2"/>
  <c r="AK214" i="2"/>
  <c r="AK216" i="2"/>
  <c r="AK218" i="2"/>
  <c r="AK220" i="2"/>
  <c r="AK222" i="2"/>
  <c r="AK224" i="2"/>
  <c r="AK226" i="2"/>
  <c r="AK228" i="2"/>
  <c r="AK230" i="2"/>
  <c r="AK232" i="2"/>
  <c r="AK234" i="2"/>
  <c r="AK236" i="2"/>
  <c r="AK238" i="2"/>
  <c r="AK240" i="2"/>
  <c r="AK242" i="2"/>
  <c r="AK244" i="2"/>
  <c r="AK246" i="2"/>
  <c r="AK248" i="2"/>
  <c r="AK250" i="2"/>
  <c r="AK252" i="2"/>
  <c r="AK254" i="2"/>
  <c r="AK256" i="2"/>
  <c r="AK158" i="2"/>
  <c r="AK152" i="2"/>
  <c r="AK168" i="2"/>
  <c r="AJ3" i="2"/>
  <c r="AJ5" i="2"/>
  <c r="AJ7" i="2"/>
  <c r="AJ9" i="2"/>
  <c r="AJ11" i="2"/>
  <c r="AJ13" i="2"/>
  <c r="AJ15" i="2"/>
  <c r="AJ17" i="2"/>
  <c r="AJ19" i="2"/>
  <c r="AJ21" i="2"/>
  <c r="AJ23" i="2"/>
  <c r="AJ25" i="2"/>
  <c r="AJ27" i="2"/>
  <c r="AJ29" i="2"/>
  <c r="AJ31" i="2"/>
  <c r="AJ33" i="2"/>
  <c r="AJ35" i="2"/>
  <c r="AJ37" i="2"/>
  <c r="AJ39" i="2"/>
  <c r="AJ41" i="2"/>
  <c r="AJ43" i="2"/>
  <c r="AJ45" i="2"/>
  <c r="AJ47" i="2"/>
  <c r="AJ49" i="2"/>
  <c r="AJ51" i="2"/>
  <c r="AJ53" i="2"/>
  <c r="AJ55" i="2"/>
  <c r="AJ57" i="2"/>
  <c r="AJ59" i="2"/>
  <c r="AJ61" i="2"/>
  <c r="AJ63" i="2"/>
  <c r="AJ65" i="2"/>
  <c r="AJ67" i="2"/>
  <c r="AJ69" i="2"/>
  <c r="AJ71" i="2"/>
  <c r="AJ73" i="2"/>
  <c r="AJ75" i="2"/>
  <c r="AJ77" i="2"/>
  <c r="AJ79" i="2"/>
  <c r="AJ81" i="2"/>
  <c r="AJ83" i="2"/>
  <c r="AJ85" i="2"/>
  <c r="AJ87" i="2"/>
  <c r="AJ89" i="2"/>
  <c r="AJ91" i="2"/>
  <c r="AJ93" i="2"/>
  <c r="AJ95" i="2"/>
  <c r="AJ97" i="2"/>
  <c r="AJ99" i="2"/>
  <c r="AJ101" i="2"/>
  <c r="AJ103" i="2"/>
  <c r="AJ105" i="2"/>
  <c r="AJ107" i="2"/>
  <c r="AJ109" i="2"/>
  <c r="AJ111" i="2"/>
  <c r="AJ113" i="2"/>
  <c r="AJ115" i="2"/>
  <c r="AJ117" i="2"/>
  <c r="AJ119" i="2"/>
  <c r="AJ121" i="2"/>
  <c r="AJ123" i="2"/>
  <c r="AJ125" i="2"/>
  <c r="AJ127" i="2"/>
  <c r="AJ129" i="2"/>
  <c r="AJ131" i="2"/>
  <c r="AJ133" i="2"/>
  <c r="AJ135" i="2"/>
  <c r="AJ137" i="2"/>
  <c r="AJ139" i="2"/>
  <c r="AJ141" i="2"/>
  <c r="AJ143" i="2"/>
  <c r="AJ145" i="2"/>
  <c r="AJ147" i="2"/>
  <c r="AJ149" i="2"/>
  <c r="AJ151" i="2"/>
  <c r="AJ153" i="2"/>
  <c r="AJ155" i="2"/>
  <c r="AJ157" i="2"/>
  <c r="AJ159" i="2"/>
  <c r="AJ161" i="2"/>
  <c r="AJ163" i="2"/>
  <c r="AJ165" i="2"/>
  <c r="AJ167" i="2"/>
  <c r="AJ169" i="2"/>
  <c r="AJ171" i="2"/>
  <c r="AJ4" i="2"/>
  <c r="AJ14" i="2"/>
  <c r="AJ22" i="2"/>
  <c r="AJ30" i="2"/>
  <c r="AJ38" i="2"/>
  <c r="AJ46" i="2"/>
  <c r="AJ54" i="2"/>
  <c r="AJ62" i="2"/>
  <c r="AJ70" i="2"/>
  <c r="AJ78" i="2"/>
  <c r="AJ86" i="2"/>
  <c r="AJ94" i="2"/>
  <c r="AJ102" i="2"/>
  <c r="AJ110" i="2"/>
  <c r="AJ118" i="2"/>
  <c r="AJ126" i="2"/>
  <c r="AJ140" i="2"/>
  <c r="AJ164" i="2"/>
  <c r="AJ134" i="2"/>
  <c r="AJ6" i="2"/>
  <c r="AJ154" i="2"/>
  <c r="AJ160" i="2"/>
  <c r="AJ8" i="2"/>
  <c r="AJ16" i="2"/>
  <c r="AJ24" i="2"/>
  <c r="AJ32" i="2"/>
  <c r="AJ40" i="2"/>
  <c r="AJ48" i="2"/>
  <c r="AJ56" i="2"/>
  <c r="AJ64" i="2"/>
  <c r="AJ72" i="2"/>
  <c r="AJ80" i="2"/>
  <c r="AJ88" i="2"/>
  <c r="AJ96" i="2"/>
  <c r="AJ104" i="2"/>
  <c r="AJ112" i="2"/>
  <c r="AJ120" i="2"/>
  <c r="AJ128" i="2"/>
  <c r="AJ148" i="2"/>
  <c r="AJ173" i="2"/>
  <c r="AJ175" i="2"/>
  <c r="AJ177" i="2"/>
  <c r="AJ179" i="2"/>
  <c r="AJ181" i="2"/>
  <c r="AJ183" i="2"/>
  <c r="AJ185" i="2"/>
  <c r="AJ187" i="2"/>
  <c r="AJ189" i="2"/>
  <c r="AJ191" i="2"/>
  <c r="AJ193" i="2"/>
  <c r="AJ195" i="2"/>
  <c r="AJ197" i="2"/>
  <c r="AJ199" i="2"/>
  <c r="AJ201" i="2"/>
  <c r="AJ203" i="2"/>
  <c r="AJ205" i="2"/>
  <c r="AJ207" i="2"/>
  <c r="AJ209" i="2"/>
  <c r="AJ211" i="2"/>
  <c r="AJ213" i="2"/>
  <c r="AJ215" i="2"/>
  <c r="AJ217" i="2"/>
  <c r="AJ219" i="2"/>
  <c r="AJ221" i="2"/>
  <c r="AJ223" i="2"/>
  <c r="AJ225" i="2"/>
  <c r="AJ227" i="2"/>
  <c r="AJ229" i="2"/>
  <c r="AJ231" i="2"/>
  <c r="AJ233" i="2"/>
  <c r="AJ235" i="2"/>
  <c r="AJ237" i="2"/>
  <c r="AJ239" i="2"/>
  <c r="AJ241" i="2"/>
  <c r="AJ243" i="2"/>
  <c r="AJ245" i="2"/>
  <c r="AJ247" i="2"/>
  <c r="AJ249" i="2"/>
  <c r="AJ251" i="2"/>
  <c r="AJ253" i="2"/>
  <c r="AJ255" i="2"/>
  <c r="AJ257" i="2"/>
  <c r="AJ142" i="2"/>
  <c r="AJ170" i="2"/>
  <c r="AJ136" i="2"/>
  <c r="AJ144" i="2"/>
  <c r="AJ166" i="2"/>
  <c r="AJ2" i="2"/>
  <c r="AJ10" i="2"/>
  <c r="AJ18" i="2"/>
  <c r="AJ26" i="2"/>
  <c r="AJ34" i="2"/>
  <c r="AJ42" i="2"/>
  <c r="AJ50" i="2"/>
  <c r="AJ58" i="2"/>
  <c r="AJ66" i="2"/>
  <c r="AJ74" i="2"/>
  <c r="AJ82" i="2"/>
  <c r="AJ90" i="2"/>
  <c r="AJ98" i="2"/>
  <c r="AJ106" i="2"/>
  <c r="AJ114" i="2"/>
  <c r="AJ122" i="2"/>
  <c r="AJ130" i="2"/>
  <c r="AJ156" i="2"/>
  <c r="AJ150" i="2"/>
  <c r="AJ162" i="2"/>
  <c r="AJ138" i="2"/>
  <c r="AJ12" i="2"/>
  <c r="AJ20" i="2"/>
  <c r="AJ28" i="2"/>
  <c r="AJ36" i="2"/>
  <c r="AJ44" i="2"/>
  <c r="AJ52" i="2"/>
  <c r="AJ60" i="2"/>
  <c r="AJ68" i="2"/>
  <c r="AJ76" i="2"/>
  <c r="AJ84" i="2"/>
  <c r="AJ92" i="2"/>
  <c r="AJ100" i="2"/>
  <c r="AJ108" i="2"/>
  <c r="AJ116" i="2"/>
  <c r="AJ124" i="2"/>
  <c r="AJ132" i="2"/>
  <c r="AJ172" i="2"/>
  <c r="AJ174" i="2"/>
  <c r="AJ176" i="2"/>
  <c r="AJ178" i="2"/>
  <c r="AJ180" i="2"/>
  <c r="AJ182" i="2"/>
  <c r="AJ184" i="2"/>
  <c r="AJ186" i="2"/>
  <c r="AJ188" i="2"/>
  <c r="AJ190" i="2"/>
  <c r="AJ192" i="2"/>
  <c r="AJ194" i="2"/>
  <c r="AJ196" i="2"/>
  <c r="AJ198" i="2"/>
  <c r="AJ200" i="2"/>
  <c r="AJ202" i="2"/>
  <c r="AJ204" i="2"/>
  <c r="AJ206" i="2"/>
  <c r="AJ208" i="2"/>
  <c r="AJ210" i="2"/>
  <c r="AJ212" i="2"/>
  <c r="AJ214" i="2"/>
  <c r="AJ216" i="2"/>
  <c r="AJ218" i="2"/>
  <c r="AJ220" i="2"/>
  <c r="AJ222" i="2"/>
  <c r="AJ224" i="2"/>
  <c r="AJ226" i="2"/>
  <c r="AJ228" i="2"/>
  <c r="AJ230" i="2"/>
  <c r="AJ232" i="2"/>
  <c r="AJ234" i="2"/>
  <c r="AJ236" i="2"/>
  <c r="AJ238" i="2"/>
  <c r="AJ240" i="2"/>
  <c r="AJ242" i="2"/>
  <c r="AJ244" i="2"/>
  <c r="AJ246" i="2"/>
  <c r="AJ248" i="2"/>
  <c r="AJ250" i="2"/>
  <c r="AJ252" i="2"/>
  <c r="AJ254" i="2"/>
  <c r="AJ256" i="2"/>
  <c r="AJ158" i="2"/>
  <c r="AJ152" i="2"/>
  <c r="AJ168" i="2"/>
  <c r="AJ146" i="2"/>
  <c r="AI3" i="2"/>
  <c r="AI5" i="2"/>
  <c r="AI7" i="2"/>
  <c r="AI9" i="2"/>
  <c r="AI11" i="2"/>
  <c r="AI13" i="2"/>
  <c r="AI15" i="2"/>
  <c r="AI17" i="2"/>
  <c r="AI19" i="2"/>
  <c r="AI21" i="2"/>
  <c r="AI23" i="2"/>
  <c r="AI25" i="2"/>
  <c r="AI27" i="2"/>
  <c r="AI29" i="2"/>
  <c r="AI31" i="2"/>
  <c r="AI33" i="2"/>
  <c r="AI35" i="2"/>
  <c r="AI37" i="2"/>
  <c r="AI39" i="2"/>
  <c r="AI41" i="2"/>
  <c r="AI43" i="2"/>
  <c r="AI45" i="2"/>
  <c r="AI47" i="2"/>
  <c r="AI49" i="2"/>
  <c r="AI51" i="2"/>
  <c r="AI53" i="2"/>
  <c r="AI55" i="2"/>
  <c r="AI57" i="2"/>
  <c r="AI59" i="2"/>
  <c r="AI61" i="2"/>
  <c r="AI63" i="2"/>
  <c r="AI65" i="2"/>
  <c r="AI67" i="2"/>
  <c r="AI69" i="2"/>
  <c r="AI71" i="2"/>
  <c r="AI73" i="2"/>
  <c r="AI75" i="2"/>
  <c r="AI77" i="2"/>
  <c r="AI79" i="2"/>
  <c r="AI81" i="2"/>
  <c r="AI83" i="2"/>
  <c r="AI85" i="2"/>
  <c r="AI87" i="2"/>
  <c r="AI89" i="2"/>
  <c r="AI91" i="2"/>
  <c r="AI93" i="2"/>
  <c r="AI95" i="2"/>
  <c r="AI97" i="2"/>
  <c r="AI99" i="2"/>
  <c r="AI101" i="2"/>
  <c r="AI103" i="2"/>
  <c r="AI105" i="2"/>
  <c r="AI107" i="2"/>
  <c r="AI109" i="2"/>
  <c r="AI111" i="2"/>
  <c r="AI113" i="2"/>
  <c r="AI115" i="2"/>
  <c r="AI117" i="2"/>
  <c r="AI119" i="2"/>
  <c r="AI121" i="2"/>
  <c r="AI123" i="2"/>
  <c r="AI125" i="2"/>
  <c r="AI127" i="2"/>
  <c r="AI129" i="2"/>
  <c r="AI131" i="2"/>
  <c r="AI133" i="2"/>
  <c r="AI135" i="2"/>
  <c r="AI137" i="2"/>
  <c r="AI139" i="2"/>
  <c r="AI141" i="2"/>
  <c r="AI143" i="2"/>
  <c r="AI145" i="2"/>
  <c r="AI147" i="2"/>
  <c r="AI149" i="2"/>
  <c r="AI151" i="2"/>
  <c r="AI153" i="2"/>
  <c r="AI155" i="2"/>
  <c r="AI157" i="2"/>
  <c r="AI159" i="2"/>
  <c r="AI161" i="2"/>
  <c r="AI163" i="2"/>
  <c r="AI165" i="2"/>
  <c r="AI167" i="2"/>
  <c r="AI169" i="2"/>
  <c r="AI171" i="2"/>
  <c r="AI4" i="2"/>
  <c r="AI6" i="2"/>
  <c r="AI8" i="2"/>
  <c r="AI10" i="2"/>
  <c r="AI12" i="2"/>
  <c r="AI14" i="2"/>
  <c r="AI16" i="2"/>
  <c r="AI18" i="2"/>
  <c r="AI20" i="2"/>
  <c r="AI22" i="2"/>
  <c r="AI24" i="2"/>
  <c r="AI26" i="2"/>
  <c r="AI28" i="2"/>
  <c r="AI30" i="2"/>
  <c r="AI32" i="2"/>
  <c r="AI34" i="2"/>
  <c r="AI36" i="2"/>
  <c r="AI38" i="2"/>
  <c r="AI40" i="2"/>
  <c r="AI42" i="2"/>
  <c r="AI44" i="2"/>
  <c r="AI46" i="2"/>
  <c r="AI48" i="2"/>
  <c r="AI50" i="2"/>
  <c r="AI52" i="2"/>
  <c r="AI54" i="2"/>
  <c r="AI56" i="2"/>
  <c r="AI58" i="2"/>
  <c r="AI60" i="2"/>
  <c r="AI62" i="2"/>
  <c r="AI64" i="2"/>
  <c r="AI66" i="2"/>
  <c r="AI68" i="2"/>
  <c r="AI70" i="2"/>
  <c r="AI72" i="2"/>
  <c r="AI74" i="2"/>
  <c r="AI76" i="2"/>
  <c r="AI78" i="2"/>
  <c r="AI80" i="2"/>
  <c r="AI82" i="2"/>
  <c r="AI84" i="2"/>
  <c r="AI86" i="2"/>
  <c r="AI88" i="2"/>
  <c r="AI90" i="2"/>
  <c r="AI92" i="2"/>
  <c r="AI94" i="2"/>
  <c r="AI96" i="2"/>
  <c r="AI98" i="2"/>
  <c r="AI100" i="2"/>
  <c r="AI102" i="2"/>
  <c r="AI104" i="2"/>
  <c r="AI106" i="2"/>
  <c r="AI108" i="2"/>
  <c r="AI110" i="2"/>
  <c r="AI112" i="2"/>
  <c r="AI114" i="2"/>
  <c r="AI116" i="2"/>
  <c r="AI118" i="2"/>
  <c r="AI120" i="2"/>
  <c r="AI122" i="2"/>
  <c r="AI124" i="2"/>
  <c r="AI126" i="2"/>
  <c r="AI128" i="2"/>
  <c r="AI130" i="2"/>
  <c r="AI132" i="2"/>
  <c r="AI134" i="2"/>
  <c r="AI136" i="2"/>
  <c r="AI138" i="2"/>
  <c r="AI140" i="2"/>
  <c r="AI142" i="2"/>
  <c r="AI144" i="2"/>
  <c r="AI146" i="2"/>
  <c r="AI148" i="2"/>
  <c r="AI150" i="2"/>
  <c r="AI152" i="2"/>
  <c r="AI154" i="2"/>
  <c r="AI156" i="2"/>
  <c r="AI158" i="2"/>
  <c r="AI160" i="2"/>
  <c r="AI162" i="2"/>
  <c r="AI164" i="2"/>
  <c r="AI166" i="2"/>
  <c r="AI168" i="2"/>
  <c r="AI170" i="2"/>
  <c r="AI172" i="2"/>
  <c r="AI173" i="2"/>
  <c r="AI175" i="2"/>
  <c r="AI177" i="2"/>
  <c r="AI179" i="2"/>
  <c r="AI181" i="2"/>
  <c r="AI183" i="2"/>
  <c r="AI185" i="2"/>
  <c r="AI187" i="2"/>
  <c r="AI189" i="2"/>
  <c r="AI191" i="2"/>
  <c r="AI193" i="2"/>
  <c r="AI195" i="2"/>
  <c r="AI197" i="2"/>
  <c r="AI199" i="2"/>
  <c r="AI201" i="2"/>
  <c r="AI203" i="2"/>
  <c r="AI205" i="2"/>
  <c r="AI207" i="2"/>
  <c r="AI209" i="2"/>
  <c r="AI211" i="2"/>
  <c r="AI213" i="2"/>
  <c r="AI215" i="2"/>
  <c r="AI217" i="2"/>
  <c r="AI219" i="2"/>
  <c r="AI221" i="2"/>
  <c r="AI223" i="2"/>
  <c r="AI225" i="2"/>
  <c r="AI227" i="2"/>
  <c r="AI229" i="2"/>
  <c r="AI231" i="2"/>
  <c r="AI233" i="2"/>
  <c r="AI235" i="2"/>
  <c r="AI237" i="2"/>
  <c r="AI239" i="2"/>
  <c r="AI241" i="2"/>
  <c r="AI243" i="2"/>
  <c r="AI245" i="2"/>
  <c r="AI247" i="2"/>
  <c r="AI249" i="2"/>
  <c r="AI251" i="2"/>
  <c r="AI253" i="2"/>
  <c r="AI255" i="2"/>
  <c r="AI257" i="2"/>
  <c r="AI2" i="2"/>
  <c r="AI174" i="2"/>
  <c r="AI176" i="2"/>
  <c r="AI178" i="2"/>
  <c r="AI180" i="2"/>
  <c r="AI182" i="2"/>
  <c r="AI184" i="2"/>
  <c r="AI186" i="2"/>
  <c r="AI188" i="2"/>
  <c r="AI190" i="2"/>
  <c r="AI192" i="2"/>
  <c r="AI194" i="2"/>
  <c r="AI196" i="2"/>
  <c r="AI198" i="2"/>
  <c r="AI200" i="2"/>
  <c r="AI202" i="2"/>
  <c r="AI204" i="2"/>
  <c r="AI206" i="2"/>
  <c r="AI208" i="2"/>
  <c r="AI210" i="2"/>
  <c r="AI212" i="2"/>
  <c r="AI214" i="2"/>
  <c r="AI216" i="2"/>
  <c r="AI218" i="2"/>
  <c r="AI220" i="2"/>
  <c r="AI222" i="2"/>
  <c r="AI224" i="2"/>
  <c r="AI226" i="2"/>
  <c r="AI228" i="2"/>
  <c r="AI230" i="2"/>
  <c r="AI232" i="2"/>
  <c r="AI234" i="2"/>
  <c r="AI236" i="2"/>
  <c r="AI238" i="2"/>
  <c r="AI240" i="2"/>
  <c r="AI242" i="2"/>
  <c r="AI244" i="2"/>
  <c r="AI246" i="2"/>
  <c r="AI248" i="2"/>
  <c r="AI250" i="2"/>
  <c r="AI252" i="2"/>
  <c r="AI254" i="2"/>
  <c r="AI256" i="2"/>
  <c r="AG3" i="2"/>
  <c r="AG5" i="2"/>
  <c r="AG7" i="2"/>
  <c r="AG9" i="2"/>
  <c r="AG11" i="2"/>
  <c r="AG13" i="2"/>
  <c r="AG15" i="2"/>
  <c r="AG17" i="2"/>
  <c r="AG19" i="2"/>
  <c r="AG21" i="2"/>
  <c r="AG23" i="2"/>
  <c r="AG25" i="2"/>
  <c r="AG27" i="2"/>
  <c r="AG29" i="2"/>
  <c r="AG31" i="2"/>
  <c r="AG33" i="2"/>
  <c r="AG35" i="2"/>
  <c r="AG37" i="2"/>
  <c r="AG39" i="2"/>
  <c r="AG41" i="2"/>
  <c r="AG43" i="2"/>
  <c r="AG45" i="2"/>
  <c r="AG47" i="2"/>
  <c r="AG49" i="2"/>
  <c r="AG51" i="2"/>
  <c r="AG53" i="2"/>
  <c r="AG55" i="2"/>
  <c r="AG57" i="2"/>
  <c r="AG59" i="2"/>
  <c r="AG61" i="2"/>
  <c r="AG63" i="2"/>
  <c r="AG65" i="2"/>
  <c r="AG67" i="2"/>
  <c r="AG69" i="2"/>
  <c r="AG71" i="2"/>
  <c r="AG73" i="2"/>
  <c r="AG75" i="2"/>
  <c r="AG77" i="2"/>
  <c r="AG79" i="2"/>
  <c r="AG81" i="2"/>
  <c r="AG83" i="2"/>
  <c r="AG85" i="2"/>
  <c r="AG87" i="2"/>
  <c r="AG89" i="2"/>
  <c r="AG91" i="2"/>
  <c r="AG93" i="2"/>
  <c r="AG95" i="2"/>
  <c r="AG97" i="2"/>
  <c r="AG99" i="2"/>
  <c r="AG101" i="2"/>
  <c r="AG103" i="2"/>
  <c r="AG105" i="2"/>
  <c r="AG107" i="2"/>
  <c r="AG109" i="2"/>
  <c r="AG111" i="2"/>
  <c r="AG113" i="2"/>
  <c r="AG115" i="2"/>
  <c r="AG117" i="2"/>
  <c r="AG119" i="2"/>
  <c r="AG121" i="2"/>
  <c r="AG123" i="2"/>
  <c r="AG125" i="2"/>
  <c r="AG127" i="2"/>
  <c r="AG129" i="2"/>
  <c r="AG131" i="2"/>
  <c r="AG133" i="2"/>
  <c r="AG135" i="2"/>
  <c r="AG137" i="2"/>
  <c r="AG139" i="2"/>
  <c r="AG141" i="2"/>
  <c r="AG143" i="2"/>
  <c r="AG145" i="2"/>
  <c r="AG147" i="2"/>
  <c r="AG149" i="2"/>
  <c r="AG151" i="2"/>
  <c r="AG153" i="2"/>
  <c r="AG155" i="2"/>
  <c r="AG157" i="2"/>
  <c r="AG159" i="2"/>
  <c r="AG161" i="2"/>
  <c r="AG163" i="2"/>
  <c r="AG165" i="2"/>
  <c r="AG167" i="2"/>
  <c r="AG169" i="2"/>
  <c r="AG171" i="2"/>
  <c r="AG4" i="2"/>
  <c r="AG6" i="2"/>
  <c r="AG8" i="2"/>
  <c r="AG10" i="2"/>
  <c r="AG12" i="2"/>
  <c r="AG14" i="2"/>
  <c r="AG16" i="2"/>
  <c r="AG18" i="2"/>
  <c r="AG20" i="2"/>
  <c r="AG22" i="2"/>
  <c r="AG24" i="2"/>
  <c r="AG26" i="2"/>
  <c r="AG28" i="2"/>
  <c r="AG30" i="2"/>
  <c r="AG32" i="2"/>
  <c r="AG34" i="2"/>
  <c r="AG36" i="2"/>
  <c r="AG38" i="2"/>
  <c r="AG40" i="2"/>
  <c r="AG42" i="2"/>
  <c r="AG44" i="2"/>
  <c r="AG46" i="2"/>
  <c r="AG48" i="2"/>
  <c r="AG50" i="2"/>
  <c r="AG52" i="2"/>
  <c r="AG54" i="2"/>
  <c r="AG56" i="2"/>
  <c r="AG58" i="2"/>
  <c r="AG60" i="2"/>
  <c r="AG62" i="2"/>
  <c r="AG64" i="2"/>
  <c r="AG66" i="2"/>
  <c r="AG68" i="2"/>
  <c r="AG70" i="2"/>
  <c r="AG72" i="2"/>
  <c r="AG74" i="2"/>
  <c r="AG76" i="2"/>
  <c r="AG78" i="2"/>
  <c r="AG80" i="2"/>
  <c r="AG82" i="2"/>
  <c r="AG84" i="2"/>
  <c r="AG86" i="2"/>
  <c r="AG88" i="2"/>
  <c r="AG90" i="2"/>
  <c r="AG92" i="2"/>
  <c r="AG94" i="2"/>
  <c r="AG96" i="2"/>
  <c r="AG98" i="2"/>
  <c r="AG100" i="2"/>
  <c r="AG102" i="2"/>
  <c r="AG104" i="2"/>
  <c r="AG106" i="2"/>
  <c r="AG108" i="2"/>
  <c r="AG110" i="2"/>
  <c r="AG112" i="2"/>
  <c r="AG114" i="2"/>
  <c r="AG116" i="2"/>
  <c r="AG118" i="2"/>
  <c r="AG120" i="2"/>
  <c r="AG122" i="2"/>
  <c r="AG124" i="2"/>
  <c r="AG126" i="2"/>
  <c r="AG128" i="2"/>
  <c r="AG130" i="2"/>
  <c r="AG132" i="2"/>
  <c r="AG134" i="2"/>
  <c r="AG173" i="2"/>
  <c r="AG175" i="2"/>
  <c r="AG177" i="2"/>
  <c r="AG179" i="2"/>
  <c r="AG181" i="2"/>
  <c r="AG183" i="2"/>
  <c r="AG185" i="2"/>
  <c r="AG187" i="2"/>
  <c r="AG189" i="2"/>
  <c r="AG191" i="2"/>
  <c r="AG193" i="2"/>
  <c r="AG195" i="2"/>
  <c r="AG197" i="2"/>
  <c r="AG199" i="2"/>
  <c r="AG201" i="2"/>
  <c r="AG203" i="2"/>
  <c r="AG205" i="2"/>
  <c r="AG207" i="2"/>
  <c r="AG209" i="2"/>
  <c r="AG211" i="2"/>
  <c r="AG213" i="2"/>
  <c r="AG215" i="2"/>
  <c r="AG217" i="2"/>
  <c r="AG219" i="2"/>
  <c r="AG221" i="2"/>
  <c r="AG223" i="2"/>
  <c r="AG225" i="2"/>
  <c r="AG227" i="2"/>
  <c r="AG229" i="2"/>
  <c r="AG231" i="2"/>
  <c r="AG233" i="2"/>
  <c r="AG235" i="2"/>
  <c r="AG237" i="2"/>
  <c r="AG239" i="2"/>
  <c r="AG241" i="2"/>
  <c r="AG243" i="2"/>
  <c r="AG245" i="2"/>
  <c r="AG247" i="2"/>
  <c r="AG249" i="2"/>
  <c r="AG251" i="2"/>
  <c r="AG253" i="2"/>
  <c r="AG255" i="2"/>
  <c r="AG257" i="2"/>
  <c r="AG154" i="2"/>
  <c r="AG160" i="2"/>
  <c r="AG148" i="2"/>
  <c r="AG142" i="2"/>
  <c r="AG170" i="2"/>
  <c r="AG136" i="2"/>
  <c r="AG166" i="2"/>
  <c r="AG156" i="2"/>
  <c r="AG150" i="2"/>
  <c r="AG162" i="2"/>
  <c r="AG2" i="2"/>
  <c r="AG144" i="2"/>
  <c r="AG174" i="2"/>
  <c r="AG176" i="2"/>
  <c r="AG178" i="2"/>
  <c r="AG180" i="2"/>
  <c r="AG182" i="2"/>
  <c r="AG184" i="2"/>
  <c r="AG186" i="2"/>
  <c r="AG188" i="2"/>
  <c r="AG190" i="2"/>
  <c r="AG192" i="2"/>
  <c r="AG194" i="2"/>
  <c r="AG196" i="2"/>
  <c r="AG198" i="2"/>
  <c r="AG200" i="2"/>
  <c r="AG202" i="2"/>
  <c r="AG204" i="2"/>
  <c r="AG206" i="2"/>
  <c r="AG208" i="2"/>
  <c r="AG210" i="2"/>
  <c r="AG212" i="2"/>
  <c r="AG214" i="2"/>
  <c r="AG216" i="2"/>
  <c r="AG218" i="2"/>
  <c r="AG220" i="2"/>
  <c r="AG222" i="2"/>
  <c r="AG224" i="2"/>
  <c r="AG226" i="2"/>
  <c r="AG228" i="2"/>
  <c r="AG230" i="2"/>
  <c r="AG232" i="2"/>
  <c r="AG234" i="2"/>
  <c r="AG236" i="2"/>
  <c r="AG238" i="2"/>
  <c r="AG240" i="2"/>
  <c r="AG242" i="2"/>
  <c r="AG244" i="2"/>
  <c r="AG246" i="2"/>
  <c r="AG248" i="2"/>
  <c r="AG250" i="2"/>
  <c r="AG252" i="2"/>
  <c r="AG254" i="2"/>
  <c r="AG256" i="2"/>
  <c r="AG138" i="2"/>
  <c r="AG172" i="2"/>
  <c r="AG158" i="2"/>
  <c r="AG152" i="2"/>
  <c r="AG168" i="2"/>
  <c r="AG146" i="2"/>
  <c r="AG140" i="2"/>
  <c r="AG164" i="2"/>
  <c r="G9" i="1"/>
  <c r="L9" i="1" s="1"/>
  <c r="G8" i="1"/>
  <c r="L8" i="1" s="1"/>
  <c r="G7" i="1"/>
  <c r="L7" i="1" s="1"/>
  <c r="G5" i="1"/>
  <c r="L5" i="1" s="1"/>
  <c r="H6" i="1"/>
  <c r="J6" i="1" s="1"/>
  <c r="H4" i="1"/>
  <c r="J4" i="1" s="1"/>
  <c r="H3" i="1"/>
  <c r="J3" i="1" s="1"/>
  <c r="H2" i="1"/>
  <c r="J2" i="1" s="1"/>
  <c r="R204" i="2"/>
  <c r="R188" i="2"/>
  <c r="R29" i="2"/>
  <c r="R13" i="2"/>
  <c r="R252" i="2"/>
  <c r="R236" i="2"/>
  <c r="R220" i="2"/>
  <c r="R172" i="2"/>
  <c r="R156" i="2"/>
  <c r="R140" i="2"/>
  <c r="R124" i="2"/>
  <c r="R108" i="2"/>
  <c r="R25" i="2"/>
  <c r="R9" i="2"/>
  <c r="R248" i="2"/>
  <c r="R232" i="2"/>
  <c r="R216" i="2"/>
  <c r="R200" i="2"/>
  <c r="R184" i="2"/>
  <c r="R168" i="2"/>
  <c r="R152" i="2"/>
  <c r="R136" i="2"/>
  <c r="R120" i="2"/>
  <c r="R104" i="2"/>
  <c r="R88" i="2"/>
  <c r="R72" i="2"/>
  <c r="R56" i="2"/>
  <c r="R40" i="2"/>
  <c r="R211" i="2"/>
  <c r="R195" i="2"/>
  <c r="R115" i="2"/>
  <c r="R35" i="2"/>
  <c r="R19" i="2"/>
  <c r="R3" i="2"/>
  <c r="R242" i="2"/>
  <c r="R226" i="2"/>
  <c r="R210" i="2"/>
  <c r="R194" i="2"/>
  <c r="R178" i="2"/>
  <c r="R162" i="2"/>
  <c r="R146" i="2"/>
  <c r="R130" i="2"/>
  <c r="R114" i="2"/>
  <c r="R98" i="2"/>
  <c r="R82" i="2"/>
  <c r="R66" i="2"/>
  <c r="R50" i="2"/>
  <c r="R34" i="2"/>
  <c r="R203" i="2"/>
  <c r="R59" i="2"/>
  <c r="R2" i="2"/>
  <c r="R22" i="2"/>
  <c r="R6" i="2"/>
  <c r="R245" i="2"/>
  <c r="R229" i="2"/>
  <c r="R213" i="2"/>
  <c r="R197" i="2"/>
  <c r="R181" i="2"/>
  <c r="R165" i="2"/>
  <c r="R149" i="2"/>
  <c r="R133" i="2"/>
  <c r="R117" i="2"/>
  <c r="R101" i="2"/>
  <c r="R85" i="2"/>
  <c r="R69" i="2"/>
  <c r="R53" i="2"/>
  <c r="R37" i="2"/>
  <c r="R219" i="2"/>
  <c r="R187" i="2"/>
  <c r="R78" i="2"/>
  <c r="R257" i="2"/>
  <c r="R177" i="2"/>
  <c r="R81" i="2"/>
  <c r="R21" i="2"/>
  <c r="R5" i="2"/>
  <c r="R244" i="2"/>
  <c r="R228" i="2"/>
  <c r="R212" i="2"/>
  <c r="R196" i="2"/>
  <c r="R180" i="2"/>
  <c r="R164" i="2"/>
  <c r="R148" i="2"/>
  <c r="R132" i="2"/>
  <c r="R116" i="2"/>
  <c r="R100" i="2"/>
  <c r="R84" i="2"/>
  <c r="R68" i="2"/>
  <c r="R52" i="2"/>
  <c r="R36" i="2"/>
  <c r="R171" i="2"/>
  <c r="R123" i="2"/>
  <c r="R15" i="2"/>
  <c r="R222" i="2"/>
  <c r="R174" i="2"/>
  <c r="R161" i="2"/>
  <c r="R24" i="2"/>
  <c r="R8" i="2"/>
  <c r="R247" i="2"/>
  <c r="R231" i="2"/>
  <c r="R215" i="2"/>
  <c r="R199" i="2"/>
  <c r="R183" i="2"/>
  <c r="R167" i="2"/>
  <c r="R151" i="2"/>
  <c r="R135" i="2"/>
  <c r="R119" i="2"/>
  <c r="R103" i="2"/>
  <c r="R87" i="2"/>
  <c r="R71" i="2"/>
  <c r="R55" i="2"/>
  <c r="R39" i="2"/>
  <c r="R27" i="2"/>
  <c r="R11" i="2"/>
  <c r="R250" i="2"/>
  <c r="R234" i="2"/>
  <c r="R218" i="2"/>
  <c r="R202" i="2"/>
  <c r="R186" i="2"/>
  <c r="R170" i="2"/>
  <c r="R154" i="2"/>
  <c r="R138" i="2"/>
  <c r="R122" i="2"/>
  <c r="R106" i="2"/>
  <c r="R90" i="2"/>
  <c r="R74" i="2"/>
  <c r="R58" i="2"/>
  <c r="R42" i="2"/>
  <c r="R12" i="2"/>
  <c r="R46" i="2"/>
  <c r="R145" i="2"/>
  <c r="R113" i="2"/>
  <c r="R30" i="2"/>
  <c r="R14" i="2"/>
  <c r="R253" i="2"/>
  <c r="R237" i="2"/>
  <c r="R221" i="2"/>
  <c r="R205" i="2"/>
  <c r="R189" i="2"/>
  <c r="R173" i="2"/>
  <c r="R157" i="2"/>
  <c r="R141" i="2"/>
  <c r="R125" i="2"/>
  <c r="R109" i="2"/>
  <c r="R93" i="2"/>
  <c r="R77" i="2"/>
  <c r="R61" i="2"/>
  <c r="R45" i="2"/>
  <c r="R28" i="2"/>
  <c r="R235" i="2"/>
  <c r="R155" i="2"/>
  <c r="R254" i="2"/>
  <c r="R126" i="2"/>
  <c r="R97" i="2"/>
  <c r="R33" i="2"/>
  <c r="R17" i="2"/>
  <c r="R256" i="2"/>
  <c r="R240" i="2"/>
  <c r="R224" i="2"/>
  <c r="R208" i="2"/>
  <c r="R192" i="2"/>
  <c r="R176" i="2"/>
  <c r="R160" i="2"/>
  <c r="R144" i="2"/>
  <c r="R128" i="2"/>
  <c r="R112" i="2"/>
  <c r="R96" i="2"/>
  <c r="R80" i="2"/>
  <c r="R64" i="2"/>
  <c r="R48" i="2"/>
  <c r="R251" i="2"/>
  <c r="R31" i="2"/>
  <c r="R206" i="2"/>
  <c r="R158" i="2"/>
  <c r="R94" i="2"/>
  <c r="R62" i="2"/>
  <c r="R18" i="2"/>
  <c r="R241" i="2"/>
  <c r="R4" i="2"/>
  <c r="R243" i="2"/>
  <c r="R227" i="2"/>
  <c r="R179" i="2"/>
  <c r="R163" i="2"/>
  <c r="R147" i="2"/>
  <c r="R131" i="2"/>
  <c r="R99" i="2"/>
  <c r="R83" i="2"/>
  <c r="R67" i="2"/>
  <c r="R51" i="2"/>
  <c r="R139" i="2"/>
  <c r="R91" i="2"/>
  <c r="R190" i="2"/>
  <c r="R225" i="2"/>
  <c r="R193" i="2"/>
  <c r="R129" i="2"/>
  <c r="R65" i="2"/>
  <c r="R20" i="2"/>
  <c r="R23" i="2"/>
  <c r="R7" i="2"/>
  <c r="R246" i="2"/>
  <c r="R230" i="2"/>
  <c r="R214" i="2"/>
  <c r="R198" i="2"/>
  <c r="R182" i="2"/>
  <c r="R166" i="2"/>
  <c r="R150" i="2"/>
  <c r="R134" i="2"/>
  <c r="R118" i="2"/>
  <c r="R102" i="2"/>
  <c r="R86" i="2"/>
  <c r="R70" i="2"/>
  <c r="R54" i="2"/>
  <c r="R38" i="2"/>
  <c r="R43" i="2"/>
  <c r="R238" i="2"/>
  <c r="R142" i="2"/>
  <c r="R209" i="2"/>
  <c r="R49" i="2"/>
  <c r="R26" i="2"/>
  <c r="R10" i="2"/>
  <c r="R249" i="2"/>
  <c r="R233" i="2"/>
  <c r="R217" i="2"/>
  <c r="R201" i="2"/>
  <c r="R185" i="2"/>
  <c r="R169" i="2"/>
  <c r="R153" i="2"/>
  <c r="R137" i="2"/>
  <c r="R121" i="2"/>
  <c r="R105" i="2"/>
  <c r="R89" i="2"/>
  <c r="R73" i="2"/>
  <c r="R57" i="2"/>
  <c r="R41" i="2"/>
  <c r="R75" i="2"/>
  <c r="R92" i="2"/>
  <c r="R76" i="2"/>
  <c r="R60" i="2"/>
  <c r="R44" i="2"/>
  <c r="R107" i="2"/>
  <c r="R110" i="2"/>
  <c r="R32" i="2"/>
  <c r="R16" i="2"/>
  <c r="R255" i="2"/>
  <c r="R239" i="2"/>
  <c r="R223" i="2"/>
  <c r="R207" i="2"/>
  <c r="R191" i="2"/>
  <c r="R175" i="2"/>
  <c r="R159" i="2"/>
  <c r="R143" i="2"/>
  <c r="R127" i="2"/>
  <c r="R111" i="2"/>
  <c r="R95" i="2"/>
  <c r="R79" i="2"/>
  <c r="R63" i="2"/>
  <c r="R47" i="2"/>
  <c r="J8" i="1" l="1"/>
  <c r="J5" i="1"/>
  <c r="J7" i="1"/>
  <c r="J9" i="1"/>
  <c r="L2" i="1"/>
  <c r="AD3" i="2"/>
  <c r="AD5" i="2"/>
  <c r="AD7" i="2"/>
  <c r="AD9" i="2"/>
  <c r="AD11" i="2"/>
  <c r="AD13" i="2"/>
  <c r="AD15" i="2"/>
  <c r="AD17" i="2"/>
  <c r="AD19" i="2"/>
  <c r="AD21" i="2"/>
  <c r="AD23" i="2"/>
  <c r="AD25" i="2"/>
  <c r="AD27" i="2"/>
  <c r="AD29" i="2"/>
  <c r="AD31" i="2"/>
  <c r="AD33" i="2"/>
  <c r="AD35" i="2"/>
  <c r="AD37" i="2"/>
  <c r="AD39" i="2"/>
  <c r="AD41" i="2"/>
  <c r="AD43" i="2"/>
  <c r="AD45" i="2"/>
  <c r="AD47" i="2"/>
  <c r="AD49" i="2"/>
  <c r="AD51" i="2"/>
  <c r="AD53" i="2"/>
  <c r="AD55" i="2"/>
  <c r="AD57" i="2"/>
  <c r="AD59" i="2"/>
  <c r="AD61" i="2"/>
  <c r="AD63" i="2"/>
  <c r="AD65" i="2"/>
  <c r="AD67" i="2"/>
  <c r="AD69" i="2"/>
  <c r="AD71" i="2"/>
  <c r="AD73" i="2"/>
  <c r="AD75" i="2"/>
  <c r="AD77" i="2"/>
  <c r="AD79" i="2"/>
  <c r="AD81" i="2"/>
  <c r="AD83" i="2"/>
  <c r="AD85" i="2"/>
  <c r="AD87" i="2"/>
  <c r="AD89" i="2"/>
  <c r="AD91" i="2"/>
  <c r="AD93" i="2"/>
  <c r="AD95" i="2"/>
  <c r="AD97" i="2"/>
  <c r="AD99" i="2"/>
  <c r="AD101" i="2"/>
  <c r="AD103" i="2"/>
  <c r="AD105" i="2"/>
  <c r="AD107" i="2"/>
  <c r="AD109" i="2"/>
  <c r="AD111" i="2"/>
  <c r="AD113" i="2"/>
  <c r="AD115" i="2"/>
  <c r="AD117" i="2"/>
  <c r="AD119" i="2"/>
  <c r="AD121" i="2"/>
  <c r="AD123" i="2"/>
  <c r="AD125" i="2"/>
  <c r="AD127" i="2"/>
  <c r="AD129" i="2"/>
  <c r="AD131" i="2"/>
  <c r="AD133" i="2"/>
  <c r="AD135" i="2"/>
  <c r="AD137" i="2"/>
  <c r="AD139" i="2"/>
  <c r="AD141" i="2"/>
  <c r="AD143" i="2"/>
  <c r="AD145" i="2"/>
  <c r="AD147" i="2"/>
  <c r="AD149" i="2"/>
  <c r="AD151" i="2"/>
  <c r="AD153" i="2"/>
  <c r="AD155" i="2"/>
  <c r="AD157" i="2"/>
  <c r="AD159" i="2"/>
  <c r="AD161" i="2"/>
  <c r="AD4" i="2"/>
  <c r="AD6" i="2"/>
  <c r="AD8" i="2"/>
  <c r="AD10" i="2"/>
  <c r="AD12" i="2"/>
  <c r="AD14" i="2"/>
  <c r="AD16" i="2"/>
  <c r="AD18" i="2"/>
  <c r="AD20" i="2"/>
  <c r="AD22" i="2"/>
  <c r="AD24" i="2"/>
  <c r="AD26" i="2"/>
  <c r="AD28" i="2"/>
  <c r="AD30" i="2"/>
  <c r="AD32" i="2"/>
  <c r="AD34" i="2"/>
  <c r="AD36" i="2"/>
  <c r="AD38" i="2"/>
  <c r="AD40" i="2"/>
  <c r="AD42" i="2"/>
  <c r="AD44" i="2"/>
  <c r="AD46" i="2"/>
  <c r="AD48" i="2"/>
  <c r="AD50" i="2"/>
  <c r="AD52" i="2"/>
  <c r="AD54" i="2"/>
  <c r="AD56" i="2"/>
  <c r="AD58" i="2"/>
  <c r="AD60" i="2"/>
  <c r="AD62" i="2"/>
  <c r="AD64" i="2"/>
  <c r="AD66" i="2"/>
  <c r="AD68" i="2"/>
  <c r="AD70" i="2"/>
  <c r="AD72" i="2"/>
  <c r="AD74" i="2"/>
  <c r="AD76" i="2"/>
  <c r="AD78" i="2"/>
  <c r="AD80" i="2"/>
  <c r="AD82" i="2"/>
  <c r="AD84" i="2"/>
  <c r="AD86" i="2"/>
  <c r="AD88" i="2"/>
  <c r="AD90" i="2"/>
  <c r="AD92" i="2"/>
  <c r="AD94" i="2"/>
  <c r="AD96" i="2"/>
  <c r="AD98" i="2"/>
  <c r="AD100" i="2"/>
  <c r="AD102" i="2"/>
  <c r="AD104" i="2"/>
  <c r="AD106" i="2"/>
  <c r="AD108" i="2"/>
  <c r="AD110" i="2"/>
  <c r="AD112" i="2"/>
  <c r="AD114" i="2"/>
  <c r="AD116" i="2"/>
  <c r="AD118" i="2"/>
  <c r="AD120" i="2"/>
  <c r="AD122" i="2"/>
  <c r="AD124" i="2"/>
  <c r="AD126" i="2"/>
  <c r="AD128" i="2"/>
  <c r="AD130" i="2"/>
  <c r="AD132" i="2"/>
  <c r="AD134" i="2"/>
  <c r="AD136" i="2"/>
  <c r="AD138" i="2"/>
  <c r="AD140" i="2"/>
  <c r="AD142" i="2"/>
  <c r="AD144" i="2"/>
  <c r="AD146" i="2"/>
  <c r="AD148" i="2"/>
  <c r="AD150" i="2"/>
  <c r="AD152" i="2"/>
  <c r="AD154" i="2"/>
  <c r="AD156" i="2"/>
  <c r="AD158" i="2"/>
  <c r="AD160" i="2"/>
  <c r="AD169" i="2"/>
  <c r="AD165" i="2"/>
  <c r="AD170" i="2"/>
  <c r="AD166" i="2"/>
  <c r="AD162" i="2"/>
  <c r="AD174" i="2"/>
  <c r="AD176" i="2"/>
  <c r="AD178" i="2"/>
  <c r="AD180" i="2"/>
  <c r="AD182" i="2"/>
  <c r="AD184" i="2"/>
  <c r="AD186" i="2"/>
  <c r="AD188" i="2"/>
  <c r="AD190" i="2"/>
  <c r="AD192" i="2"/>
  <c r="AD194" i="2"/>
  <c r="AD196" i="2"/>
  <c r="AD198" i="2"/>
  <c r="AD200" i="2"/>
  <c r="AD202" i="2"/>
  <c r="AD204" i="2"/>
  <c r="AD206" i="2"/>
  <c r="AD208" i="2"/>
  <c r="AD210" i="2"/>
  <c r="AD212" i="2"/>
  <c r="AD214" i="2"/>
  <c r="AD216" i="2"/>
  <c r="AD218" i="2"/>
  <c r="AD220" i="2"/>
  <c r="AD222" i="2"/>
  <c r="AD224" i="2"/>
  <c r="AD226" i="2"/>
  <c r="AD228" i="2"/>
  <c r="AD230" i="2"/>
  <c r="AD232" i="2"/>
  <c r="AD234" i="2"/>
  <c r="AD236" i="2"/>
  <c r="AD238" i="2"/>
  <c r="AD240" i="2"/>
  <c r="AD242" i="2"/>
  <c r="AD244" i="2"/>
  <c r="AD246" i="2"/>
  <c r="AD248" i="2"/>
  <c r="AD250" i="2"/>
  <c r="AD252" i="2"/>
  <c r="AD254" i="2"/>
  <c r="AD256" i="2"/>
  <c r="AD171" i="2"/>
  <c r="AD167" i="2"/>
  <c r="AD172" i="2"/>
  <c r="AD163" i="2"/>
  <c r="AD168" i="2"/>
  <c r="AD249" i="2"/>
  <c r="AD233" i="2"/>
  <c r="AD255" i="2"/>
  <c r="AD164" i="2"/>
  <c r="AD229" i="2"/>
  <c r="AD257" i="2"/>
  <c r="AD173" i="2"/>
  <c r="AD175" i="2"/>
  <c r="AD177" i="2"/>
  <c r="AD179" i="2"/>
  <c r="AD181" i="2"/>
  <c r="AD183" i="2"/>
  <c r="AD185" i="2"/>
  <c r="AD187" i="2"/>
  <c r="AD189" i="2"/>
  <c r="AD191" i="2"/>
  <c r="AD193" i="2"/>
  <c r="AD195" i="2"/>
  <c r="AD197" i="2"/>
  <c r="AD199" i="2"/>
  <c r="AD201" i="2"/>
  <c r="AD203" i="2"/>
  <c r="AD205" i="2"/>
  <c r="AD207" i="2"/>
  <c r="AD209" i="2"/>
  <c r="AD211" i="2"/>
  <c r="AD213" i="2"/>
  <c r="AD215" i="2"/>
  <c r="AD217" i="2"/>
  <c r="AD219" i="2"/>
  <c r="AD221" i="2"/>
  <c r="AD223" i="2"/>
  <c r="AD225" i="2"/>
  <c r="AD227" i="2"/>
  <c r="AD231" i="2"/>
  <c r="AD235" i="2"/>
  <c r="AD237" i="2"/>
  <c r="AD239" i="2"/>
  <c r="AD241" i="2"/>
  <c r="AD243" i="2"/>
  <c r="AD245" i="2"/>
  <c r="AD247" i="2"/>
  <c r="AD251" i="2"/>
  <c r="AD253" i="2"/>
  <c r="AE3" i="2"/>
  <c r="AE5" i="2"/>
  <c r="AE7" i="2"/>
  <c r="AE4" i="2"/>
  <c r="AE6" i="2"/>
  <c r="AE8" i="2"/>
  <c r="AE10" i="2"/>
  <c r="AE12" i="2"/>
  <c r="AE14" i="2"/>
  <c r="AE16" i="2"/>
  <c r="AE18" i="2"/>
  <c r="AE20" i="2"/>
  <c r="AE22" i="2"/>
  <c r="AE24" i="2"/>
  <c r="AE26" i="2"/>
  <c r="AE28" i="2"/>
  <c r="AE30" i="2"/>
  <c r="AE32" i="2"/>
  <c r="AE34" i="2"/>
  <c r="AE36" i="2"/>
  <c r="AE38" i="2"/>
  <c r="AE40" i="2"/>
  <c r="AE42" i="2"/>
  <c r="AE44" i="2"/>
  <c r="AE46" i="2"/>
  <c r="AE48" i="2"/>
  <c r="AE50" i="2"/>
  <c r="AE52" i="2"/>
  <c r="AE54" i="2"/>
  <c r="AE56" i="2"/>
  <c r="AE58" i="2"/>
  <c r="AE60" i="2"/>
  <c r="AE62" i="2"/>
  <c r="AE64" i="2"/>
  <c r="AE66" i="2"/>
  <c r="AE68" i="2"/>
  <c r="AE70" i="2"/>
  <c r="AE72" i="2"/>
  <c r="AE74" i="2"/>
  <c r="AE76" i="2"/>
  <c r="AE78" i="2"/>
  <c r="AE80" i="2"/>
  <c r="AE82" i="2"/>
  <c r="AE84" i="2"/>
  <c r="AE86" i="2"/>
  <c r="AE88" i="2"/>
  <c r="AE90" i="2"/>
  <c r="AE92" i="2"/>
  <c r="AE94" i="2"/>
  <c r="AE96" i="2"/>
  <c r="AE98" i="2"/>
  <c r="AE100" i="2"/>
  <c r="AE102" i="2"/>
  <c r="AE104" i="2"/>
  <c r="AE106" i="2"/>
  <c r="AE108" i="2"/>
  <c r="AE110" i="2"/>
  <c r="AE112" i="2"/>
  <c r="AE114" i="2"/>
  <c r="AE116" i="2"/>
  <c r="AE118" i="2"/>
  <c r="AE120" i="2"/>
  <c r="AE122" i="2"/>
  <c r="AE124" i="2"/>
  <c r="AE126" i="2"/>
  <c r="AE128" i="2"/>
  <c r="AE130" i="2"/>
  <c r="AE132" i="2"/>
  <c r="AE134" i="2"/>
  <c r="AE136" i="2"/>
  <c r="AE138" i="2"/>
  <c r="AE140" i="2"/>
  <c r="AE142" i="2"/>
  <c r="AE144" i="2"/>
  <c r="AE146" i="2"/>
  <c r="AE148" i="2"/>
  <c r="AE150" i="2"/>
  <c r="AE152" i="2"/>
  <c r="AE154" i="2"/>
  <c r="AE156" i="2"/>
  <c r="AE158" i="2"/>
  <c r="AE160" i="2"/>
  <c r="AE162" i="2"/>
  <c r="AE164" i="2"/>
  <c r="AE166" i="2"/>
  <c r="AE168" i="2"/>
  <c r="AE170" i="2"/>
  <c r="AE172" i="2"/>
  <c r="AE153" i="2"/>
  <c r="AE15" i="2"/>
  <c r="AE23" i="2"/>
  <c r="AE39" i="2"/>
  <c r="AE63" i="2"/>
  <c r="AE71" i="2"/>
  <c r="AE87" i="2"/>
  <c r="AE103" i="2"/>
  <c r="AE119" i="2"/>
  <c r="AE147" i="2"/>
  <c r="AE169" i="2"/>
  <c r="AE31" i="2"/>
  <c r="AE55" i="2"/>
  <c r="AE79" i="2"/>
  <c r="AE95" i="2"/>
  <c r="AE111" i="2"/>
  <c r="AE127" i="2"/>
  <c r="AE141" i="2"/>
  <c r="AE47" i="2"/>
  <c r="AE135" i="2"/>
  <c r="AE165" i="2"/>
  <c r="AE51" i="2"/>
  <c r="AE59" i="2"/>
  <c r="AE83" i="2"/>
  <c r="AE123" i="2"/>
  <c r="AE155" i="2"/>
  <c r="AE161" i="2"/>
  <c r="AE43" i="2"/>
  <c r="AE67" i="2"/>
  <c r="AE107" i="2"/>
  <c r="AE9" i="2"/>
  <c r="AE17" i="2"/>
  <c r="AE25" i="2"/>
  <c r="AE33" i="2"/>
  <c r="AE41" i="2"/>
  <c r="AE49" i="2"/>
  <c r="AE57" i="2"/>
  <c r="AE65" i="2"/>
  <c r="AE73" i="2"/>
  <c r="AE81" i="2"/>
  <c r="AE89" i="2"/>
  <c r="AE97" i="2"/>
  <c r="AE105" i="2"/>
  <c r="AE113" i="2"/>
  <c r="AE121" i="2"/>
  <c r="AE129" i="2"/>
  <c r="AE149" i="2"/>
  <c r="AE27" i="2"/>
  <c r="AE91" i="2"/>
  <c r="AE143" i="2"/>
  <c r="AE174" i="2"/>
  <c r="AE176" i="2"/>
  <c r="AE178" i="2"/>
  <c r="AE180" i="2"/>
  <c r="AE182" i="2"/>
  <c r="AE184" i="2"/>
  <c r="AE186" i="2"/>
  <c r="AE188" i="2"/>
  <c r="AE190" i="2"/>
  <c r="AE192" i="2"/>
  <c r="AE194" i="2"/>
  <c r="AE196" i="2"/>
  <c r="AE198" i="2"/>
  <c r="AE200" i="2"/>
  <c r="AE202" i="2"/>
  <c r="AE204" i="2"/>
  <c r="AE206" i="2"/>
  <c r="AE208" i="2"/>
  <c r="AE210" i="2"/>
  <c r="AE212" i="2"/>
  <c r="AE214" i="2"/>
  <c r="AE216" i="2"/>
  <c r="AE218" i="2"/>
  <c r="AE220" i="2"/>
  <c r="AE222" i="2"/>
  <c r="AE224" i="2"/>
  <c r="AE226" i="2"/>
  <c r="AE228" i="2"/>
  <c r="AE230" i="2"/>
  <c r="AE232" i="2"/>
  <c r="AE234" i="2"/>
  <c r="AE236" i="2"/>
  <c r="AE238" i="2"/>
  <c r="AE240" i="2"/>
  <c r="AE242" i="2"/>
  <c r="AE244" i="2"/>
  <c r="AE246" i="2"/>
  <c r="AE248" i="2"/>
  <c r="AE250" i="2"/>
  <c r="AE252" i="2"/>
  <c r="AE254" i="2"/>
  <c r="AE256" i="2"/>
  <c r="AE35" i="2"/>
  <c r="AE75" i="2"/>
  <c r="AE131" i="2"/>
  <c r="AE167" i="2"/>
  <c r="AE137" i="2"/>
  <c r="AE171" i="2"/>
  <c r="AE19" i="2"/>
  <c r="AE99" i="2"/>
  <c r="AE157" i="2"/>
  <c r="AE11" i="2"/>
  <c r="AE115" i="2"/>
  <c r="AE151" i="2"/>
  <c r="AE145" i="2"/>
  <c r="AE163" i="2"/>
  <c r="AE139" i="2"/>
  <c r="AE13" i="2"/>
  <c r="AE21" i="2"/>
  <c r="AE29" i="2"/>
  <c r="AE37" i="2"/>
  <c r="AE45" i="2"/>
  <c r="AE53" i="2"/>
  <c r="AE61" i="2"/>
  <c r="AE69" i="2"/>
  <c r="AE77" i="2"/>
  <c r="AE85" i="2"/>
  <c r="AE93" i="2"/>
  <c r="AE101" i="2"/>
  <c r="AE109" i="2"/>
  <c r="AE117" i="2"/>
  <c r="AE125" i="2"/>
  <c r="AE133" i="2"/>
  <c r="AE193" i="2"/>
  <c r="AE195" i="2"/>
  <c r="AE221" i="2"/>
  <c r="AE237" i="2"/>
  <c r="AE253" i="2"/>
  <c r="AE197" i="2"/>
  <c r="AE159" i="2"/>
  <c r="AE199" i="2"/>
  <c r="AE223" i="2"/>
  <c r="AE239" i="2"/>
  <c r="AE255" i="2"/>
  <c r="AE201" i="2"/>
  <c r="AE203" i="2"/>
  <c r="AE225" i="2"/>
  <c r="AE241" i="2"/>
  <c r="AE257" i="2"/>
  <c r="AE213" i="2"/>
  <c r="AE173" i="2"/>
  <c r="AE205" i="2"/>
  <c r="AE181" i="2"/>
  <c r="AE175" i="2"/>
  <c r="AE207" i="2"/>
  <c r="AE227" i="2"/>
  <c r="AE243" i="2"/>
  <c r="AE177" i="2"/>
  <c r="AE209" i="2"/>
  <c r="AE179" i="2"/>
  <c r="AE211" i="2"/>
  <c r="AE229" i="2"/>
  <c r="AE245" i="2"/>
  <c r="AE183" i="2"/>
  <c r="AE215" i="2"/>
  <c r="AE231" i="2"/>
  <c r="AE247" i="2"/>
  <c r="AE185" i="2"/>
  <c r="AE187" i="2"/>
  <c r="AE217" i="2"/>
  <c r="AE233" i="2"/>
  <c r="AE249" i="2"/>
  <c r="AE189" i="2"/>
  <c r="AE191" i="2"/>
  <c r="AE219" i="2"/>
  <c r="AE235" i="2"/>
  <c r="AE251" i="2"/>
  <c r="L4" i="1"/>
  <c r="AF3" i="2"/>
  <c r="AF5" i="2"/>
  <c r="AF7" i="2"/>
  <c r="AF9" i="2"/>
  <c r="AF11" i="2"/>
  <c r="AF13" i="2"/>
  <c r="AF15" i="2"/>
  <c r="AF17" i="2"/>
  <c r="AF19" i="2"/>
  <c r="AF21" i="2"/>
  <c r="AF23" i="2"/>
  <c r="AF25" i="2"/>
  <c r="AF27" i="2"/>
  <c r="AF29" i="2"/>
  <c r="AF31" i="2"/>
  <c r="AF33" i="2"/>
  <c r="AF35" i="2"/>
  <c r="AF37" i="2"/>
  <c r="AF39" i="2"/>
  <c r="AF41" i="2"/>
  <c r="AF43" i="2"/>
  <c r="AF45" i="2"/>
  <c r="AF47" i="2"/>
  <c r="AF49" i="2"/>
  <c r="AF51" i="2"/>
  <c r="AF53" i="2"/>
  <c r="AF55" i="2"/>
  <c r="AF57" i="2"/>
  <c r="AF59" i="2"/>
  <c r="AF61" i="2"/>
  <c r="AF63" i="2"/>
  <c r="AF65" i="2"/>
  <c r="AF67" i="2"/>
  <c r="AF69" i="2"/>
  <c r="AF71" i="2"/>
  <c r="AF73" i="2"/>
  <c r="AF75" i="2"/>
  <c r="AF77" i="2"/>
  <c r="AF79" i="2"/>
  <c r="AF81" i="2"/>
  <c r="AF83" i="2"/>
  <c r="AF85" i="2"/>
  <c r="AF87" i="2"/>
  <c r="AF89" i="2"/>
  <c r="AF91" i="2"/>
  <c r="AF93" i="2"/>
  <c r="AF95" i="2"/>
  <c r="AF97" i="2"/>
  <c r="AF99" i="2"/>
  <c r="AF101" i="2"/>
  <c r="AF103" i="2"/>
  <c r="AF105" i="2"/>
  <c r="AF107" i="2"/>
  <c r="AF109" i="2"/>
  <c r="AF111" i="2"/>
  <c r="AF113" i="2"/>
  <c r="AF115" i="2"/>
  <c r="AF117" i="2"/>
  <c r="AF119" i="2"/>
  <c r="AF121" i="2"/>
  <c r="AF123" i="2"/>
  <c r="AF125" i="2"/>
  <c r="AF127" i="2"/>
  <c r="AF129" i="2"/>
  <c r="AF131" i="2"/>
  <c r="AF133" i="2"/>
  <c r="AF135" i="2"/>
  <c r="AF137" i="2"/>
  <c r="AF139" i="2"/>
  <c r="AF141" i="2"/>
  <c r="AF143" i="2"/>
  <c r="AF145" i="2"/>
  <c r="AF147" i="2"/>
  <c r="AF149" i="2"/>
  <c r="AF151" i="2"/>
  <c r="AF153" i="2"/>
  <c r="AF155" i="2"/>
  <c r="AF157" i="2"/>
  <c r="AF159" i="2"/>
  <c r="AF161" i="2"/>
  <c r="AF163" i="2"/>
  <c r="AF165" i="2"/>
  <c r="AF167" i="2"/>
  <c r="AF169" i="2"/>
  <c r="AF171" i="2"/>
  <c r="AF4" i="2"/>
  <c r="AF6" i="2"/>
  <c r="AF8" i="2"/>
  <c r="AF173" i="2"/>
  <c r="AF175" i="2"/>
  <c r="AF177" i="2"/>
  <c r="AF179" i="2"/>
  <c r="AF181" i="2"/>
  <c r="AF183" i="2"/>
  <c r="AF185" i="2"/>
  <c r="AF187" i="2"/>
  <c r="AF189" i="2"/>
  <c r="AF191" i="2"/>
  <c r="AF193" i="2"/>
  <c r="AF195" i="2"/>
  <c r="AF197" i="2"/>
  <c r="AF199" i="2"/>
  <c r="AF201" i="2"/>
  <c r="AF203" i="2"/>
  <c r="AF205" i="2"/>
  <c r="AF207" i="2"/>
  <c r="AF209" i="2"/>
  <c r="AF211" i="2"/>
  <c r="AF213" i="2"/>
  <c r="AF215" i="2"/>
  <c r="AF217" i="2"/>
  <c r="AF219" i="2"/>
  <c r="AF221" i="2"/>
  <c r="AF223" i="2"/>
  <c r="AF225" i="2"/>
  <c r="AF227" i="2"/>
  <c r="AF229" i="2"/>
  <c r="AF231" i="2"/>
  <c r="AF233" i="2"/>
  <c r="AF235" i="2"/>
  <c r="AF237" i="2"/>
  <c r="AF239" i="2"/>
  <c r="AF241" i="2"/>
  <c r="AF243" i="2"/>
  <c r="AF245" i="2"/>
  <c r="AF247" i="2"/>
  <c r="AF249" i="2"/>
  <c r="AF251" i="2"/>
  <c r="AF253" i="2"/>
  <c r="AF255" i="2"/>
  <c r="AF257" i="2"/>
  <c r="AF148" i="2"/>
  <c r="AF154" i="2"/>
  <c r="AF160" i="2"/>
  <c r="AF16" i="2"/>
  <c r="AF24" i="2"/>
  <c r="AF32" i="2"/>
  <c r="AF40" i="2"/>
  <c r="AF48" i="2"/>
  <c r="AF56" i="2"/>
  <c r="AF64" i="2"/>
  <c r="AF72" i="2"/>
  <c r="AF80" i="2"/>
  <c r="AF88" i="2"/>
  <c r="AF96" i="2"/>
  <c r="AF104" i="2"/>
  <c r="AF112" i="2"/>
  <c r="AF120" i="2"/>
  <c r="AF128" i="2"/>
  <c r="AF142" i="2"/>
  <c r="AF170" i="2"/>
  <c r="AF136" i="2"/>
  <c r="AF166" i="2"/>
  <c r="AF172" i="2"/>
  <c r="AF156" i="2"/>
  <c r="AF10" i="2"/>
  <c r="AF18" i="2"/>
  <c r="AF26" i="2"/>
  <c r="AF34" i="2"/>
  <c r="AF42" i="2"/>
  <c r="AF50" i="2"/>
  <c r="AF58" i="2"/>
  <c r="AF66" i="2"/>
  <c r="AF74" i="2"/>
  <c r="AF82" i="2"/>
  <c r="AF90" i="2"/>
  <c r="AF98" i="2"/>
  <c r="AF106" i="2"/>
  <c r="AF114" i="2"/>
  <c r="AF122" i="2"/>
  <c r="AF130" i="2"/>
  <c r="AF150" i="2"/>
  <c r="AF162" i="2"/>
  <c r="AF144" i="2"/>
  <c r="AF174" i="2"/>
  <c r="AF176" i="2"/>
  <c r="AF178" i="2"/>
  <c r="AF180" i="2"/>
  <c r="AF182" i="2"/>
  <c r="AF184" i="2"/>
  <c r="AF186" i="2"/>
  <c r="AF188" i="2"/>
  <c r="AF190" i="2"/>
  <c r="AF192" i="2"/>
  <c r="AF194" i="2"/>
  <c r="AF196" i="2"/>
  <c r="AF198" i="2"/>
  <c r="AF200" i="2"/>
  <c r="AF202" i="2"/>
  <c r="AF204" i="2"/>
  <c r="AF206" i="2"/>
  <c r="AF208" i="2"/>
  <c r="AF210" i="2"/>
  <c r="AF212" i="2"/>
  <c r="AF214" i="2"/>
  <c r="AF216" i="2"/>
  <c r="AF218" i="2"/>
  <c r="AF220" i="2"/>
  <c r="AF222" i="2"/>
  <c r="AF224" i="2"/>
  <c r="AF226" i="2"/>
  <c r="AF228" i="2"/>
  <c r="AF230" i="2"/>
  <c r="AF232" i="2"/>
  <c r="AF234" i="2"/>
  <c r="AF236" i="2"/>
  <c r="AF238" i="2"/>
  <c r="AF240" i="2"/>
  <c r="AF242" i="2"/>
  <c r="AF244" i="2"/>
  <c r="AF246" i="2"/>
  <c r="AF248" i="2"/>
  <c r="AF250" i="2"/>
  <c r="AF252" i="2"/>
  <c r="AF254" i="2"/>
  <c r="AF256" i="2"/>
  <c r="AF138" i="2"/>
  <c r="AF12" i="2"/>
  <c r="AF20" i="2"/>
  <c r="AF28" i="2"/>
  <c r="AF36" i="2"/>
  <c r="AF44" i="2"/>
  <c r="AF52" i="2"/>
  <c r="AF60" i="2"/>
  <c r="AF68" i="2"/>
  <c r="AF76" i="2"/>
  <c r="AF84" i="2"/>
  <c r="AF92" i="2"/>
  <c r="AF100" i="2"/>
  <c r="AF108" i="2"/>
  <c r="AF116" i="2"/>
  <c r="AF124" i="2"/>
  <c r="AF132" i="2"/>
  <c r="AF158" i="2"/>
  <c r="AF2" i="2"/>
  <c r="AF152" i="2"/>
  <c r="AF168" i="2"/>
  <c r="AF146" i="2"/>
  <c r="AF140" i="2"/>
  <c r="AF164" i="2"/>
  <c r="AF14" i="2"/>
  <c r="AF22" i="2"/>
  <c r="AF30" i="2"/>
  <c r="AF46" i="2"/>
  <c r="AF38" i="2"/>
  <c r="AF54" i="2"/>
  <c r="AF62" i="2"/>
  <c r="AF70" i="2"/>
  <c r="AF78" i="2"/>
  <c r="AF94" i="2"/>
  <c r="AF86" i="2"/>
  <c r="AF102" i="2"/>
  <c r="AF110" i="2"/>
  <c r="AF126" i="2"/>
  <c r="AF118" i="2"/>
  <c r="AF134" i="2"/>
  <c r="L6" i="1"/>
  <c r="AH3" i="2"/>
  <c r="AH5" i="2"/>
  <c r="AH7" i="2"/>
  <c r="AH9" i="2"/>
  <c r="AH11" i="2"/>
  <c r="AH13" i="2"/>
  <c r="AH15" i="2"/>
  <c r="AH17" i="2"/>
  <c r="AH19" i="2"/>
  <c r="AH21" i="2"/>
  <c r="AH23" i="2"/>
  <c r="AH25" i="2"/>
  <c r="AH27" i="2"/>
  <c r="AH29" i="2"/>
  <c r="AH31" i="2"/>
  <c r="AH33" i="2"/>
  <c r="AH35" i="2"/>
  <c r="AH37" i="2"/>
  <c r="AH39" i="2"/>
  <c r="AH41" i="2"/>
  <c r="AH43" i="2"/>
  <c r="AH45" i="2"/>
  <c r="AH47" i="2"/>
  <c r="AH49" i="2"/>
  <c r="AH51" i="2"/>
  <c r="AH53" i="2"/>
  <c r="AH55" i="2"/>
  <c r="AH57" i="2"/>
  <c r="AH59" i="2"/>
  <c r="AH61" i="2"/>
  <c r="AH63" i="2"/>
  <c r="AH65" i="2"/>
  <c r="AH67" i="2"/>
  <c r="AH69" i="2"/>
  <c r="AH71" i="2"/>
  <c r="AH73" i="2"/>
  <c r="AH75" i="2"/>
  <c r="AH77" i="2"/>
  <c r="AH79" i="2"/>
  <c r="AH81" i="2"/>
  <c r="AH83" i="2"/>
  <c r="AH85" i="2"/>
  <c r="AH87" i="2"/>
  <c r="AH89" i="2"/>
  <c r="AH91" i="2"/>
  <c r="AH93" i="2"/>
  <c r="AH95" i="2"/>
  <c r="AH97" i="2"/>
  <c r="AH99" i="2"/>
  <c r="AH101" i="2"/>
  <c r="AH103" i="2"/>
  <c r="AH105" i="2"/>
  <c r="AH107" i="2"/>
  <c r="AH109" i="2"/>
  <c r="AH111" i="2"/>
  <c r="AH113" i="2"/>
  <c r="AH115" i="2"/>
  <c r="AH117" i="2"/>
  <c r="AH119" i="2"/>
  <c r="AH121" i="2"/>
  <c r="AH123" i="2"/>
  <c r="AH125" i="2"/>
  <c r="AH127" i="2"/>
  <c r="AH129" i="2"/>
  <c r="AH131" i="2"/>
  <c r="AH133" i="2"/>
  <c r="AH135" i="2"/>
  <c r="AH137" i="2"/>
  <c r="AH139" i="2"/>
  <c r="AH141" i="2"/>
  <c r="AH143" i="2"/>
  <c r="AH145" i="2"/>
  <c r="AH147" i="2"/>
  <c r="AH149" i="2"/>
  <c r="AH151" i="2"/>
  <c r="AH153" i="2"/>
  <c r="AH155" i="2"/>
  <c r="AH157" i="2"/>
  <c r="AH159" i="2"/>
  <c r="AH161" i="2"/>
  <c r="AH163" i="2"/>
  <c r="AH165" i="2"/>
  <c r="AH167" i="2"/>
  <c r="AH169" i="2"/>
  <c r="AH171" i="2"/>
  <c r="AH4" i="2"/>
  <c r="AH6" i="2"/>
  <c r="AH8" i="2"/>
  <c r="AH10" i="2"/>
  <c r="AH12" i="2"/>
  <c r="AH14" i="2"/>
  <c r="AH16" i="2"/>
  <c r="AH18" i="2"/>
  <c r="AH20" i="2"/>
  <c r="AH22" i="2"/>
  <c r="AH24" i="2"/>
  <c r="AH26" i="2"/>
  <c r="AH28" i="2"/>
  <c r="AH30" i="2"/>
  <c r="AH32" i="2"/>
  <c r="AH34" i="2"/>
  <c r="AH36" i="2"/>
  <c r="AH38" i="2"/>
  <c r="AH40" i="2"/>
  <c r="AH42" i="2"/>
  <c r="AH44" i="2"/>
  <c r="AH46" i="2"/>
  <c r="AH48" i="2"/>
  <c r="AH50" i="2"/>
  <c r="AH52" i="2"/>
  <c r="AH54" i="2"/>
  <c r="AH56" i="2"/>
  <c r="AH58" i="2"/>
  <c r="AH60" i="2"/>
  <c r="AH62" i="2"/>
  <c r="AH64" i="2"/>
  <c r="AH66" i="2"/>
  <c r="AH68" i="2"/>
  <c r="AH70" i="2"/>
  <c r="AH72" i="2"/>
  <c r="AH74" i="2"/>
  <c r="AH76" i="2"/>
  <c r="AH78" i="2"/>
  <c r="AH80" i="2"/>
  <c r="AH82" i="2"/>
  <c r="AH84" i="2"/>
  <c r="AH86" i="2"/>
  <c r="AH88" i="2"/>
  <c r="AH90" i="2"/>
  <c r="AH92" i="2"/>
  <c r="AH94" i="2"/>
  <c r="AH96" i="2"/>
  <c r="AH98" i="2"/>
  <c r="AH100" i="2"/>
  <c r="AH102" i="2"/>
  <c r="AH104" i="2"/>
  <c r="AH106" i="2"/>
  <c r="AH108" i="2"/>
  <c r="AH110" i="2"/>
  <c r="AH112" i="2"/>
  <c r="AH114" i="2"/>
  <c r="AH116" i="2"/>
  <c r="AH118" i="2"/>
  <c r="AH120" i="2"/>
  <c r="AH122" i="2"/>
  <c r="AH124" i="2"/>
  <c r="AH126" i="2"/>
  <c r="AH128" i="2"/>
  <c r="AH130" i="2"/>
  <c r="AH132" i="2"/>
  <c r="AH134" i="2"/>
  <c r="AH136" i="2"/>
  <c r="AH138" i="2"/>
  <c r="AH140" i="2"/>
  <c r="AH142" i="2"/>
  <c r="AH144" i="2"/>
  <c r="AH146" i="2"/>
  <c r="AH148" i="2"/>
  <c r="AH150" i="2"/>
  <c r="AH152" i="2"/>
  <c r="AH154" i="2"/>
  <c r="AH156" i="2"/>
  <c r="AH158" i="2"/>
  <c r="AH160" i="2"/>
  <c r="AH162" i="2"/>
  <c r="AH164" i="2"/>
  <c r="AH166" i="2"/>
  <c r="AH168" i="2"/>
  <c r="AH170" i="2"/>
  <c r="AH172" i="2"/>
  <c r="AH175" i="2"/>
  <c r="AH181" i="2"/>
  <c r="AH187" i="2"/>
  <c r="AH191" i="2"/>
  <c r="AH197" i="2"/>
  <c r="AH201" i="2"/>
  <c r="AH205" i="2"/>
  <c r="AH209" i="2"/>
  <c r="AH173" i="2"/>
  <c r="AH177" i="2"/>
  <c r="AH179" i="2"/>
  <c r="AH183" i="2"/>
  <c r="AH189" i="2"/>
  <c r="AH193" i="2"/>
  <c r="AH199" i="2"/>
  <c r="AH207" i="2"/>
  <c r="AH211" i="2"/>
  <c r="AH185" i="2"/>
  <c r="AH195" i="2"/>
  <c r="AH203" i="2"/>
  <c r="AH213" i="2"/>
  <c r="AH178" i="2"/>
  <c r="AH192" i="2"/>
  <c r="AH204" i="2"/>
  <c r="AH216" i="2"/>
  <c r="AH230" i="2"/>
  <c r="AH242" i="2"/>
  <c r="AH254" i="2"/>
  <c r="AH184" i="2"/>
  <c r="AH194" i="2"/>
  <c r="AH206" i="2"/>
  <c r="AH218" i="2"/>
  <c r="AH226" i="2"/>
  <c r="AH238" i="2"/>
  <c r="AH250" i="2"/>
  <c r="AH176" i="2"/>
  <c r="AH186" i="2"/>
  <c r="AH198" i="2"/>
  <c r="AH208" i="2"/>
  <c r="AH228" i="2"/>
  <c r="AH244" i="2"/>
  <c r="AH256" i="2"/>
  <c r="AH182" i="2"/>
  <c r="AH190" i="2"/>
  <c r="AH200" i="2"/>
  <c r="AH214" i="2"/>
  <c r="AH222" i="2"/>
  <c r="AH236" i="2"/>
  <c r="AH248" i="2"/>
  <c r="AH180" i="2"/>
  <c r="AH196" i="2"/>
  <c r="AH210" i="2"/>
  <c r="AH220" i="2"/>
  <c r="AH232" i="2"/>
  <c r="AH246" i="2"/>
  <c r="AH2" i="2"/>
  <c r="AH174" i="2"/>
  <c r="AH188" i="2"/>
  <c r="AH202" i="2"/>
  <c r="AH212" i="2"/>
  <c r="AH224" i="2"/>
  <c r="AH240" i="2"/>
  <c r="AH252" i="2"/>
  <c r="AH234" i="2"/>
  <c r="AH219" i="2"/>
  <c r="AH235" i="2"/>
  <c r="AH251" i="2"/>
  <c r="AH221" i="2"/>
  <c r="AH237" i="2"/>
  <c r="AH253" i="2"/>
  <c r="AH223" i="2"/>
  <c r="AH255" i="2"/>
  <c r="AH239" i="2"/>
  <c r="AH225" i="2"/>
  <c r="AH241" i="2"/>
  <c r="AH257" i="2"/>
  <c r="AH229" i="2"/>
  <c r="AH227" i="2"/>
  <c r="AH243" i="2"/>
  <c r="AH245" i="2"/>
  <c r="AH217" i="2"/>
  <c r="AH233" i="2"/>
  <c r="AH215" i="2"/>
  <c r="AH231" i="2"/>
  <c r="AH247" i="2"/>
  <c r="AH249" i="2"/>
  <c r="L3" i="1"/>
  <c r="AE2" i="2"/>
  <c r="T2" i="2" l="1"/>
  <c r="T30" i="2" l="1"/>
  <c r="T62" i="2"/>
  <c r="T94" i="2"/>
  <c r="T23" i="2"/>
  <c r="T55" i="2"/>
  <c r="T120" i="2"/>
  <c r="T112" i="2"/>
  <c r="T192" i="2"/>
  <c r="T224" i="2"/>
  <c r="T256" i="2"/>
  <c r="T160" i="2"/>
  <c r="T152" i="2"/>
  <c r="T193" i="2"/>
  <c r="T221" i="2"/>
  <c r="T211" i="2"/>
  <c r="T227" i="2"/>
  <c r="T41" i="2"/>
  <c r="T233" i="2"/>
  <c r="T32" i="2"/>
  <c r="T64" i="2"/>
  <c r="T96" i="2"/>
  <c r="T25" i="2"/>
  <c r="T57" i="2"/>
  <c r="T150" i="2"/>
  <c r="T129" i="2"/>
  <c r="T194" i="2"/>
  <c r="T226" i="2"/>
  <c r="T97" i="2"/>
  <c r="T133" i="2"/>
  <c r="T89" i="2"/>
  <c r="T217" i="2"/>
  <c r="T124" i="2"/>
  <c r="T253" i="2"/>
  <c r="T201" i="2"/>
  <c r="T178" i="2"/>
  <c r="T34" i="2"/>
  <c r="T66" i="2"/>
  <c r="T98" i="2"/>
  <c r="T27" i="2"/>
  <c r="T59" i="2"/>
  <c r="T167" i="2"/>
  <c r="T142" i="2"/>
  <c r="T196" i="2"/>
  <c r="T228" i="2"/>
  <c r="T121" i="2"/>
  <c r="T151" i="2"/>
  <c r="T105" i="2"/>
  <c r="T257" i="2"/>
  <c r="T158" i="2"/>
  <c r="T138" i="2"/>
  <c r="T48" i="2"/>
  <c r="T210" i="2"/>
  <c r="T249" i="2"/>
  <c r="T4" i="2"/>
  <c r="T36" i="2"/>
  <c r="T68" i="2"/>
  <c r="T100" i="2"/>
  <c r="T29" i="2"/>
  <c r="T61" i="2"/>
  <c r="T101" i="2"/>
  <c r="T159" i="2"/>
  <c r="T198" i="2"/>
  <c r="T230" i="2"/>
  <c r="T126" i="2"/>
  <c r="T166" i="2"/>
  <c r="T110" i="2"/>
  <c r="T155" i="2"/>
  <c r="T169" i="2"/>
  <c r="T231" i="2"/>
  <c r="T6" i="2"/>
  <c r="T38" i="2"/>
  <c r="T70" i="2"/>
  <c r="T102" i="2"/>
  <c r="T31" i="2"/>
  <c r="T63" i="2"/>
  <c r="T132" i="2"/>
  <c r="T168" i="2"/>
  <c r="T200" i="2"/>
  <c r="T232" i="2"/>
  <c r="T136" i="2"/>
  <c r="T93" i="2"/>
  <c r="T128" i="2"/>
  <c r="T183" i="2"/>
  <c r="T177" i="2"/>
  <c r="T199" i="2"/>
  <c r="T111" i="2"/>
  <c r="T187" i="2"/>
  <c r="T8" i="2"/>
  <c r="T40" i="2"/>
  <c r="T72" i="2"/>
  <c r="T104" i="2"/>
  <c r="T33" i="2"/>
  <c r="T65" i="2"/>
  <c r="T141" i="2"/>
  <c r="T170" i="2"/>
  <c r="T202" i="2"/>
  <c r="T234" i="2"/>
  <c r="T148" i="2"/>
  <c r="T113" i="2"/>
  <c r="T149" i="2"/>
  <c r="T237" i="2"/>
  <c r="T197" i="2"/>
  <c r="T235" i="2"/>
  <c r="T73" i="2"/>
  <c r="T10" i="2"/>
  <c r="T42" i="2"/>
  <c r="T74" i="2"/>
  <c r="T3" i="2"/>
  <c r="T35" i="2"/>
  <c r="T67" i="2"/>
  <c r="T156" i="2"/>
  <c r="T172" i="2"/>
  <c r="T204" i="2"/>
  <c r="T236" i="2"/>
  <c r="T165" i="2"/>
  <c r="T118" i="2"/>
  <c r="T164" i="2"/>
  <c r="T255" i="2"/>
  <c r="T191" i="2"/>
  <c r="T239" i="2"/>
  <c r="T9" i="2"/>
  <c r="T251" i="2"/>
  <c r="T12" i="2"/>
  <c r="T44" i="2"/>
  <c r="T76" i="2"/>
  <c r="T5" i="2"/>
  <c r="T37" i="2"/>
  <c r="T69" i="2"/>
  <c r="T125" i="2"/>
  <c r="T174" i="2"/>
  <c r="T206" i="2"/>
  <c r="T238" i="2"/>
  <c r="T108" i="2"/>
  <c r="T140" i="2"/>
  <c r="T153" i="2"/>
  <c r="T106" i="2"/>
  <c r="T225" i="2"/>
  <c r="T247" i="2"/>
  <c r="T16" i="2"/>
  <c r="T242" i="2"/>
  <c r="T14" i="2"/>
  <c r="T46" i="2"/>
  <c r="T78" i="2"/>
  <c r="T7" i="2"/>
  <c r="T39" i="2"/>
  <c r="T71" i="2"/>
  <c r="T85" i="2"/>
  <c r="T176" i="2"/>
  <c r="T208" i="2"/>
  <c r="T240" i="2"/>
  <c r="T139" i="2"/>
  <c r="T157" i="2"/>
  <c r="T195" i="2"/>
  <c r="T144" i="2"/>
  <c r="T185" i="2"/>
  <c r="T223" i="2"/>
  <c r="T154" i="2"/>
  <c r="T24" i="2"/>
  <c r="T56" i="2"/>
  <c r="T88" i="2"/>
  <c r="T17" i="2"/>
  <c r="T49" i="2"/>
  <c r="T81" i="2"/>
  <c r="T162" i="2"/>
  <c r="T186" i="2"/>
  <c r="T218" i="2"/>
  <c r="T250" i="2"/>
  <c r="T122" i="2"/>
  <c r="T109" i="2"/>
  <c r="T189" i="2"/>
  <c r="T229" i="2"/>
  <c r="T171" i="2"/>
  <c r="T123" i="2"/>
  <c r="T26" i="2"/>
  <c r="T90" i="2"/>
  <c r="T51" i="2"/>
  <c r="T91" i="2"/>
  <c r="T58" i="2"/>
  <c r="T19" i="2"/>
  <c r="T83" i="2"/>
  <c r="T188" i="2"/>
  <c r="T28" i="2"/>
  <c r="T60" i="2"/>
  <c r="T92" i="2"/>
  <c r="T21" i="2"/>
  <c r="T53" i="2"/>
  <c r="T115" i="2"/>
  <c r="T107" i="2"/>
  <c r="T190" i="2"/>
  <c r="T222" i="2"/>
  <c r="T254" i="2"/>
  <c r="T145" i="2"/>
  <c r="T134" i="2"/>
  <c r="T209" i="2"/>
  <c r="T245" i="2"/>
  <c r="T205" i="2"/>
  <c r="T181" i="2"/>
  <c r="T80" i="2"/>
  <c r="T127" i="2"/>
  <c r="T22" i="2"/>
  <c r="T116" i="2"/>
  <c r="T117" i="2"/>
  <c r="T137" i="2"/>
  <c r="T207" i="2"/>
  <c r="T99" i="2"/>
  <c r="T243" i="2"/>
  <c r="T175" i="2"/>
  <c r="T50" i="2"/>
  <c r="T135" i="2"/>
  <c r="T130" i="2"/>
  <c r="T179" i="2"/>
  <c r="T147" i="2"/>
  <c r="T95" i="2"/>
  <c r="T216" i="2"/>
  <c r="T241" i="2"/>
  <c r="T203" i="2"/>
  <c r="T119" i="2"/>
  <c r="T52" i="2"/>
  <c r="T146" i="2"/>
  <c r="T15" i="2"/>
  <c r="T54" i="2"/>
  <c r="T180" i="2"/>
  <c r="T163" i="2"/>
  <c r="T213" i="2"/>
  <c r="T212" i="2"/>
  <c r="T219" i="2"/>
  <c r="T43" i="2"/>
  <c r="T82" i="2"/>
  <c r="T182" i="2"/>
  <c r="T86" i="2"/>
  <c r="T220" i="2"/>
  <c r="T84" i="2"/>
  <c r="T184" i="2"/>
  <c r="T114" i="2"/>
  <c r="T173" i="2"/>
  <c r="T13" i="2"/>
  <c r="T248" i="2"/>
  <c r="T77" i="2"/>
  <c r="T79" i="2"/>
  <c r="T11" i="2"/>
  <c r="T214" i="2"/>
  <c r="T143" i="2"/>
  <c r="T87" i="2"/>
  <c r="T103" i="2"/>
  <c r="T244" i="2"/>
  <c r="T47" i="2"/>
  <c r="T161" i="2"/>
  <c r="T45" i="2"/>
  <c r="T246" i="2"/>
  <c r="T131" i="2"/>
  <c r="T75" i="2"/>
  <c r="T252" i="2"/>
  <c r="T215" i="2"/>
  <c r="T18" i="2"/>
  <c r="T20" i="2"/>
  <c r="AD2" i="2" l="1"/>
  <c r="Z7" i="2"/>
  <c r="Z39" i="2"/>
  <c r="Z71" i="2"/>
  <c r="Z103" i="2"/>
  <c r="Z110" i="2"/>
  <c r="Z106" i="2"/>
  <c r="Z195" i="2"/>
  <c r="Z227" i="2"/>
  <c r="Z76" i="2"/>
  <c r="Z78" i="2"/>
  <c r="Z162" i="2"/>
  <c r="Z170" i="2"/>
  <c r="Z202" i="2"/>
  <c r="Z40" i="2"/>
  <c r="Z228" i="2"/>
  <c r="Z30" i="2"/>
  <c r="Z11" i="2"/>
  <c r="Z43" i="2"/>
  <c r="Z75" i="2"/>
  <c r="Z107" i="2"/>
  <c r="Z134" i="2"/>
  <c r="Z158" i="2"/>
  <c r="Z199" i="2"/>
  <c r="Z231" i="2"/>
  <c r="Z34" i="2"/>
  <c r="Z132" i="2"/>
  <c r="Z48" i="2"/>
  <c r="Z174" i="2"/>
  <c r="Z206" i="2"/>
  <c r="Z94" i="2"/>
  <c r="Z140" i="2"/>
  <c r="Z234" i="2"/>
  <c r="Z13" i="2"/>
  <c r="Z45" i="2"/>
  <c r="Z77" i="2"/>
  <c r="Z109" i="2"/>
  <c r="Z146" i="2"/>
  <c r="Z169" i="2"/>
  <c r="Z201" i="2"/>
  <c r="Z15" i="2"/>
  <c r="Z47" i="2"/>
  <c r="Z79" i="2"/>
  <c r="Z111" i="2"/>
  <c r="Z155" i="2"/>
  <c r="Z171" i="2"/>
  <c r="Z203" i="2"/>
  <c r="Z235" i="2"/>
  <c r="Z135" i="2"/>
  <c r="Z159" i="2"/>
  <c r="Z98" i="2"/>
  <c r="Z178" i="2"/>
  <c r="Z210" i="2"/>
  <c r="Z62" i="2"/>
  <c r="Z18" i="2"/>
  <c r="Z230" i="2"/>
  <c r="Z17" i="2"/>
  <c r="Z49" i="2"/>
  <c r="Z81" i="2"/>
  <c r="Z113" i="2"/>
  <c r="Z96" i="2"/>
  <c r="Z173" i="2"/>
  <c r="Z205" i="2"/>
  <c r="Z237" i="2"/>
  <c r="Z138" i="2"/>
  <c r="Z4" i="2"/>
  <c r="Z108" i="2"/>
  <c r="Z180" i="2"/>
  <c r="Z212" i="2"/>
  <c r="Z100" i="2"/>
  <c r="Z130" i="2"/>
  <c r="Z256" i="2"/>
  <c r="Z19" i="2"/>
  <c r="Z51" i="2"/>
  <c r="Z83" i="2"/>
  <c r="Z115" i="2"/>
  <c r="Z32" i="2"/>
  <c r="Z175" i="2"/>
  <c r="Z207" i="2"/>
  <c r="Z239" i="2"/>
  <c r="Z147" i="2"/>
  <c r="Z36" i="2"/>
  <c r="Z145" i="2"/>
  <c r="Z182" i="2"/>
  <c r="Z214" i="2"/>
  <c r="Z127" i="2"/>
  <c r="Z226" i="2"/>
  <c r="Z118" i="2"/>
  <c r="Z21" i="2"/>
  <c r="Z53" i="2"/>
  <c r="Z85" i="2"/>
  <c r="Z117" i="2"/>
  <c r="Z64" i="2"/>
  <c r="Z177" i="2"/>
  <c r="Z209" i="2"/>
  <c r="Z241" i="2"/>
  <c r="Z24" i="2"/>
  <c r="Z68" i="2"/>
  <c r="Z6" i="2"/>
  <c r="Z184" i="2"/>
  <c r="Z216" i="2"/>
  <c r="Z141" i="2"/>
  <c r="Z167" i="2"/>
  <c r="Z137" i="2"/>
  <c r="Z23" i="2"/>
  <c r="Z55" i="2"/>
  <c r="Z87" i="2"/>
  <c r="Z119" i="2"/>
  <c r="Z90" i="2"/>
  <c r="Z179" i="2"/>
  <c r="Z211" i="2"/>
  <c r="Z243" i="2"/>
  <c r="Z56" i="2"/>
  <c r="Z92" i="2"/>
  <c r="Z38" i="2"/>
  <c r="Z186" i="2"/>
  <c r="Z218" i="2"/>
  <c r="Z164" i="2"/>
  <c r="Z224" i="2"/>
  <c r="Z242" i="2"/>
  <c r="Z25" i="2"/>
  <c r="Z57" i="2"/>
  <c r="Z89" i="2"/>
  <c r="Z121" i="2"/>
  <c r="Z124" i="2"/>
  <c r="Z181" i="2"/>
  <c r="Z213" i="2"/>
  <c r="Z245" i="2"/>
  <c r="Z86" i="2"/>
  <c r="Z112" i="2"/>
  <c r="Z70" i="2"/>
  <c r="Z188" i="2"/>
  <c r="Z28" i="2"/>
  <c r="Z236" i="2"/>
  <c r="Z252" i="2"/>
  <c r="Z50" i="2"/>
  <c r="Z29" i="2"/>
  <c r="Z61" i="2"/>
  <c r="Z93" i="2"/>
  <c r="Z125" i="2"/>
  <c r="Z161" i="2"/>
  <c r="Z185" i="2"/>
  <c r="Z217" i="2"/>
  <c r="Z249" i="2"/>
  <c r="Z116" i="2"/>
  <c r="Z165" i="2"/>
  <c r="Z133" i="2"/>
  <c r="Z192" i="2"/>
  <c r="Z88" i="2"/>
  <c r="Z143" i="2"/>
  <c r="Z20" i="2"/>
  <c r="Z222" i="2"/>
  <c r="Z3" i="2"/>
  <c r="Z35" i="2"/>
  <c r="Z67" i="2"/>
  <c r="Z99" i="2"/>
  <c r="Z74" i="2"/>
  <c r="Z22" i="2"/>
  <c r="Z191" i="2"/>
  <c r="Z223" i="2"/>
  <c r="Z255" i="2"/>
  <c r="Z14" i="2"/>
  <c r="Z126" i="2"/>
  <c r="Z151" i="2"/>
  <c r="Z198" i="2"/>
  <c r="Z157" i="2"/>
  <c r="Z232" i="2"/>
  <c r="Z220" i="2"/>
  <c r="Z5" i="2"/>
  <c r="Z37" i="2"/>
  <c r="Z69" i="2"/>
  <c r="Z101" i="2"/>
  <c r="Z84" i="2"/>
  <c r="Z54" i="2"/>
  <c r="Z193" i="2"/>
  <c r="Z225" i="2"/>
  <c r="Z257" i="2"/>
  <c r="Z46" i="2"/>
  <c r="Z139" i="2"/>
  <c r="Z168" i="2"/>
  <c r="Z200" i="2"/>
  <c r="Z8" i="2"/>
  <c r="Z240" i="2"/>
  <c r="Z250" i="2"/>
  <c r="Z41" i="2"/>
  <c r="Z128" i="2"/>
  <c r="Z144" i="2"/>
  <c r="Z196" i="2"/>
  <c r="Z114" i="2"/>
  <c r="Z123" i="2"/>
  <c r="Z59" i="2"/>
  <c r="Z183" i="2"/>
  <c r="Z153" i="2"/>
  <c r="Z204" i="2"/>
  <c r="Z238" i="2"/>
  <c r="Z136" i="2"/>
  <c r="Z63" i="2"/>
  <c r="Z187" i="2"/>
  <c r="Z129" i="2"/>
  <c r="Z208" i="2"/>
  <c r="Z163" i="2"/>
  <c r="Z65" i="2"/>
  <c r="Z189" i="2"/>
  <c r="Z150" i="2"/>
  <c r="Z60" i="2"/>
  <c r="Z52" i="2"/>
  <c r="Z73" i="2"/>
  <c r="Z197" i="2"/>
  <c r="Z156" i="2"/>
  <c r="Z104" i="2"/>
  <c r="Z10" i="2"/>
  <c r="Z91" i="2"/>
  <c r="Z215" i="2"/>
  <c r="Z26" i="2"/>
  <c r="Z148" i="2"/>
  <c r="Z122" i="2"/>
  <c r="Z247" i="2"/>
  <c r="Z95" i="2"/>
  <c r="Z219" i="2"/>
  <c r="Z58" i="2"/>
  <c r="Z72" i="2"/>
  <c r="Z97" i="2"/>
  <c r="Z221" i="2"/>
  <c r="Z16" i="2"/>
  <c r="Z160" i="2"/>
  <c r="Z105" i="2"/>
  <c r="Z229" i="2"/>
  <c r="Z80" i="2"/>
  <c r="Z254" i="2"/>
  <c r="Z233" i="2"/>
  <c r="Z27" i="2"/>
  <c r="Z152" i="2"/>
  <c r="Z120" i="2"/>
  <c r="Z176" i="2"/>
  <c r="Z149" i="2"/>
  <c r="Z31" i="2"/>
  <c r="Z12" i="2"/>
  <c r="Z66" i="2"/>
  <c r="Z190" i="2"/>
  <c r="Z82" i="2"/>
  <c r="Z33" i="2"/>
  <c r="Z44" i="2"/>
  <c r="Z102" i="2"/>
  <c r="Z194" i="2"/>
  <c r="Z248" i="2"/>
  <c r="Z244" i="2"/>
  <c r="Z154" i="2"/>
  <c r="Z246" i="2"/>
  <c r="Z166" i="2"/>
  <c r="Z251" i="2"/>
  <c r="Z9" i="2"/>
  <c r="Z42" i="2"/>
  <c r="Z172" i="2"/>
  <c r="Z131" i="2"/>
  <c r="Z253" i="2"/>
  <c r="Z142" i="2"/>
  <c r="AA5" i="2"/>
  <c r="AA37" i="2"/>
  <c r="AA69" i="2"/>
  <c r="AA101" i="2"/>
  <c r="AA133" i="2"/>
  <c r="AA165" i="2"/>
  <c r="AA90" i="2"/>
  <c r="AA56" i="2"/>
  <c r="AA26" i="2"/>
  <c r="AA170" i="2"/>
  <c r="AA202" i="2"/>
  <c r="AA185" i="2"/>
  <c r="AA228" i="2"/>
  <c r="AA183" i="2"/>
  <c r="AA177" i="2"/>
  <c r="AA225" i="2"/>
  <c r="AA7" i="2"/>
  <c r="AA39" i="2"/>
  <c r="AA71" i="2"/>
  <c r="AA103" i="2"/>
  <c r="AA135" i="2"/>
  <c r="AA167" i="2"/>
  <c r="AA124" i="2"/>
  <c r="AA86" i="2"/>
  <c r="AA58" i="2"/>
  <c r="AA172" i="2"/>
  <c r="AA204" i="2"/>
  <c r="AA8" i="2"/>
  <c r="AA9" i="2"/>
  <c r="AA41" i="2"/>
  <c r="AA73" i="2"/>
  <c r="AA105" i="2"/>
  <c r="AA137" i="2"/>
  <c r="AA20" i="2"/>
  <c r="AA152" i="2"/>
  <c r="AA102" i="2"/>
  <c r="AA126" i="2"/>
  <c r="AA174" i="2"/>
  <c r="AA206" i="2"/>
  <c r="AA62" i="2"/>
  <c r="AA195" i="2"/>
  <c r="AA248" i="2"/>
  <c r="AA210" i="2"/>
  <c r="AA94" i="2"/>
  <c r="AA11" i="2"/>
  <c r="AA43" i="2"/>
  <c r="AA75" i="2"/>
  <c r="AA107" i="2"/>
  <c r="AA139" i="2"/>
  <c r="AA52" i="2"/>
  <c r="AA22" i="2"/>
  <c r="AA116" i="2"/>
  <c r="AA162" i="2"/>
  <c r="AA176" i="2"/>
  <c r="AA208" i="2"/>
  <c r="AA104" i="2"/>
  <c r="AA214" i="2"/>
  <c r="AA255" i="2"/>
  <c r="AA222" i="2"/>
  <c r="AA171" i="2"/>
  <c r="AA13" i="2"/>
  <c r="AA45" i="2"/>
  <c r="AA77" i="2"/>
  <c r="AA109" i="2"/>
  <c r="AA141" i="2"/>
  <c r="AA100" i="2"/>
  <c r="AA54" i="2"/>
  <c r="AA144" i="2"/>
  <c r="AA16" i="2"/>
  <c r="AA178" i="2"/>
  <c r="AA18" i="2"/>
  <c r="AA181" i="2"/>
  <c r="AA244" i="2"/>
  <c r="AA209" i="2"/>
  <c r="AA114" i="2"/>
  <c r="AA179" i="2"/>
  <c r="AA15" i="2"/>
  <c r="AA47" i="2"/>
  <c r="AA79" i="2"/>
  <c r="AA111" i="2"/>
  <c r="AA143" i="2"/>
  <c r="AA140" i="2"/>
  <c r="AA128" i="2"/>
  <c r="AA14" i="2"/>
  <c r="AA48" i="2"/>
  <c r="AA180" i="2"/>
  <c r="AA50" i="2"/>
  <c r="AA227" i="2"/>
  <c r="AA251" i="2"/>
  <c r="AA220" i="2"/>
  <c r="AA148" i="2"/>
  <c r="AA221" i="2"/>
  <c r="AA17" i="2"/>
  <c r="AA49" i="2"/>
  <c r="AA81" i="2"/>
  <c r="AA113" i="2"/>
  <c r="AA145" i="2"/>
  <c r="AA10" i="2"/>
  <c r="AA12" i="2"/>
  <c r="AA46" i="2"/>
  <c r="AA80" i="2"/>
  <c r="AA182" i="2"/>
  <c r="AA82" i="2"/>
  <c r="AA236" i="2"/>
  <c r="AA224" i="2"/>
  <c r="AA233" i="2"/>
  <c r="AA197" i="2"/>
  <c r="AA226" i="2"/>
  <c r="AA19" i="2"/>
  <c r="AA51" i="2"/>
  <c r="AA83" i="2"/>
  <c r="AA115" i="2"/>
  <c r="AA147" i="2"/>
  <c r="AA42" i="2"/>
  <c r="AA44" i="2"/>
  <c r="AA78" i="2"/>
  <c r="AA98" i="2"/>
  <c r="AA184" i="2"/>
  <c r="AA118" i="2"/>
  <c r="AA254" i="2"/>
  <c r="AA249" i="2"/>
  <c r="AA241" i="2"/>
  <c r="AA215" i="2"/>
  <c r="AA235" i="2"/>
  <c r="AA21" i="2"/>
  <c r="AA53" i="2"/>
  <c r="AA85" i="2"/>
  <c r="AA117" i="2"/>
  <c r="AA149" i="2"/>
  <c r="AA74" i="2"/>
  <c r="AA76" i="2"/>
  <c r="AA132" i="2"/>
  <c r="AA108" i="2"/>
  <c r="AA186" i="2"/>
  <c r="AA130" i="2"/>
  <c r="AA72" i="2"/>
  <c r="AA239" i="2"/>
  <c r="AA229" i="2"/>
  <c r="AA234" i="2"/>
  <c r="AA60" i="2"/>
  <c r="AA23" i="2"/>
  <c r="AA55" i="2"/>
  <c r="AA87" i="2"/>
  <c r="AA119" i="2"/>
  <c r="AA151" i="2"/>
  <c r="AA84" i="2"/>
  <c r="AA96" i="2"/>
  <c r="AA150" i="2"/>
  <c r="AA6" i="2"/>
  <c r="AA188" i="2"/>
  <c r="AA154" i="2"/>
  <c r="AA250" i="2"/>
  <c r="AA193" i="2"/>
  <c r="AA217" i="2"/>
  <c r="AA238" i="2"/>
  <c r="AA205" i="2"/>
  <c r="AA27" i="2"/>
  <c r="AA59" i="2"/>
  <c r="AA91" i="2"/>
  <c r="AA123" i="2"/>
  <c r="AA155" i="2"/>
  <c r="AA134" i="2"/>
  <c r="AA164" i="2"/>
  <c r="AA36" i="2"/>
  <c r="AA70" i="2"/>
  <c r="AA192" i="2"/>
  <c r="AA187" i="2"/>
  <c r="AA232" i="2"/>
  <c r="AA189" i="2"/>
  <c r="AA242" i="2"/>
  <c r="AA231" i="2"/>
  <c r="AA246" i="2"/>
  <c r="AA31" i="2"/>
  <c r="AA63" i="2"/>
  <c r="AA95" i="2"/>
  <c r="AA127" i="2"/>
  <c r="AA159" i="2"/>
  <c r="AA106" i="2"/>
  <c r="AA66" i="2"/>
  <c r="AA92" i="2"/>
  <c r="AA33" i="2"/>
  <c r="AA65" i="2"/>
  <c r="AA97" i="2"/>
  <c r="AA129" i="2"/>
  <c r="AA161" i="2"/>
  <c r="AA32" i="2"/>
  <c r="AA138" i="2"/>
  <c r="AA112" i="2"/>
  <c r="AA142" i="2"/>
  <c r="AA198" i="2"/>
  <c r="AA166" i="2"/>
  <c r="AA201" i="2"/>
  <c r="AA199" i="2"/>
  <c r="AA158" i="2"/>
  <c r="AA191" i="2"/>
  <c r="AA3" i="2"/>
  <c r="AA35" i="2"/>
  <c r="AA67" i="2"/>
  <c r="AA99" i="2"/>
  <c r="AA131" i="2"/>
  <c r="AA163" i="2"/>
  <c r="AA64" i="2"/>
  <c r="AA24" i="2"/>
  <c r="AA156" i="2"/>
  <c r="AA168" i="2"/>
  <c r="AA200" i="2"/>
  <c r="AA223" i="2"/>
  <c r="AA213" i="2"/>
  <c r="AA28" i="2"/>
  <c r="AA169" i="2"/>
  <c r="AA216" i="2"/>
  <c r="AA25" i="2"/>
  <c r="AA38" i="2"/>
  <c r="AA237" i="2"/>
  <c r="AA29" i="2"/>
  <c r="AA122" i="2"/>
  <c r="AA256" i="2"/>
  <c r="AA211" i="2"/>
  <c r="AA57" i="2"/>
  <c r="AA136" i="2"/>
  <c r="AA30" i="2"/>
  <c r="AA61" i="2"/>
  <c r="AA190" i="2"/>
  <c r="AA88" i="2"/>
  <c r="AA89" i="2"/>
  <c r="AA194" i="2"/>
  <c r="AA203" i="2"/>
  <c r="AA207" i="2"/>
  <c r="AA93" i="2"/>
  <c r="AA196" i="2"/>
  <c r="AA245" i="2"/>
  <c r="AA121" i="2"/>
  <c r="AA173" i="2"/>
  <c r="AA40" i="2"/>
  <c r="AA157" i="2"/>
  <c r="AA110" i="2"/>
  <c r="AA125" i="2"/>
  <c r="AA218" i="2"/>
  <c r="AA160" i="2"/>
  <c r="AA253" i="2"/>
  <c r="AA153" i="2"/>
  <c r="AA243" i="2"/>
  <c r="AA230" i="2"/>
  <c r="AA34" i="2"/>
  <c r="AA257" i="2"/>
  <c r="AA4" i="2"/>
  <c r="AA219" i="2"/>
  <c r="AA68" i="2"/>
  <c r="AA252" i="2"/>
  <c r="AA240" i="2"/>
  <c r="AA146" i="2"/>
  <c r="AA120" i="2"/>
  <c r="AA247" i="2"/>
  <c r="AA175" i="2"/>
  <c r="AA212" i="2"/>
  <c r="Y3" i="2"/>
  <c r="Y35" i="2"/>
  <c r="Y67" i="2"/>
  <c r="Y99" i="2"/>
  <c r="Y131" i="2"/>
  <c r="Y163" i="2"/>
  <c r="Y30" i="2"/>
  <c r="Y62" i="2"/>
  <c r="Y106" i="2"/>
  <c r="Y195" i="2"/>
  <c r="Y227" i="2"/>
  <c r="Y96" i="2"/>
  <c r="Y136" i="2"/>
  <c r="Y196" i="2"/>
  <c r="Y228" i="2"/>
  <c r="Y100" i="2"/>
  <c r="Y5" i="2"/>
  <c r="Y37" i="2"/>
  <c r="Y69" i="2"/>
  <c r="Y101" i="2"/>
  <c r="Y133" i="2"/>
  <c r="Y165" i="2"/>
  <c r="Y32" i="2"/>
  <c r="Y64" i="2"/>
  <c r="Y128" i="2"/>
  <c r="Y197" i="2"/>
  <c r="Y229" i="2"/>
  <c r="Y120" i="2"/>
  <c r="Y142" i="2"/>
  <c r="Y198" i="2"/>
  <c r="Y230" i="2"/>
  <c r="Y110" i="2"/>
  <c r="Y7" i="2"/>
  <c r="Y39" i="2"/>
  <c r="Y71" i="2"/>
  <c r="Y103" i="2"/>
  <c r="Y135" i="2"/>
  <c r="Y167" i="2"/>
  <c r="Y34" i="2"/>
  <c r="Y66" i="2"/>
  <c r="Y158" i="2"/>
  <c r="Y199" i="2"/>
  <c r="Y231" i="2"/>
  <c r="Y164" i="2"/>
  <c r="Y168" i="2"/>
  <c r="Y200" i="2"/>
  <c r="Y232" i="2"/>
  <c r="Y252" i="2"/>
  <c r="Y9" i="2"/>
  <c r="Y41" i="2"/>
  <c r="Y73" i="2"/>
  <c r="Y105" i="2"/>
  <c r="Y137" i="2"/>
  <c r="Y4" i="2"/>
  <c r="Y36" i="2"/>
  <c r="Y68" i="2"/>
  <c r="Y169" i="2"/>
  <c r="Y201" i="2"/>
  <c r="Y233" i="2"/>
  <c r="Y102" i="2"/>
  <c r="Y170" i="2"/>
  <c r="Y202" i="2"/>
  <c r="Y234" i="2"/>
  <c r="Y238" i="2"/>
  <c r="Y11" i="2"/>
  <c r="Y43" i="2"/>
  <c r="Y75" i="2"/>
  <c r="Y107" i="2"/>
  <c r="Y139" i="2"/>
  <c r="Y6" i="2"/>
  <c r="Y38" i="2"/>
  <c r="Y70" i="2"/>
  <c r="Y171" i="2"/>
  <c r="Y203" i="2"/>
  <c r="Y235" i="2"/>
  <c r="Y116" i="2"/>
  <c r="Y172" i="2"/>
  <c r="Y204" i="2"/>
  <c r="Y88" i="2"/>
  <c r="Y146" i="2"/>
  <c r="Y13" i="2"/>
  <c r="Y45" i="2"/>
  <c r="Y77" i="2"/>
  <c r="Y109" i="2"/>
  <c r="Y141" i="2"/>
  <c r="Y8" i="2"/>
  <c r="Y40" i="2"/>
  <c r="Y72" i="2"/>
  <c r="Y173" i="2"/>
  <c r="Y205" i="2"/>
  <c r="Y237" i="2"/>
  <c r="Y144" i="2"/>
  <c r="Y174" i="2"/>
  <c r="Y206" i="2"/>
  <c r="Y104" i="2"/>
  <c r="Y254" i="2"/>
  <c r="Y15" i="2"/>
  <c r="Y47" i="2"/>
  <c r="Y79" i="2"/>
  <c r="Y111" i="2"/>
  <c r="Y143" i="2"/>
  <c r="Y10" i="2"/>
  <c r="Y42" i="2"/>
  <c r="Y74" i="2"/>
  <c r="Y175" i="2"/>
  <c r="Y207" i="2"/>
  <c r="Y239" i="2"/>
  <c r="Y132" i="2"/>
  <c r="Y176" i="2"/>
  <c r="Y208" i="2"/>
  <c r="Y148" i="2"/>
  <c r="Y134" i="2"/>
  <c r="Y17" i="2"/>
  <c r="Y49" i="2"/>
  <c r="Y81" i="2"/>
  <c r="Y113" i="2"/>
  <c r="Y145" i="2"/>
  <c r="Y12" i="2"/>
  <c r="Y44" i="2"/>
  <c r="Y76" i="2"/>
  <c r="Y177" i="2"/>
  <c r="Y209" i="2"/>
  <c r="Y241" i="2"/>
  <c r="Y150" i="2"/>
  <c r="Y178" i="2"/>
  <c r="Y210" i="2"/>
  <c r="Y118" i="2"/>
  <c r="Y256" i="2"/>
  <c r="Y19" i="2"/>
  <c r="Y51" i="2"/>
  <c r="Y83" i="2"/>
  <c r="Y115" i="2"/>
  <c r="Y147" i="2"/>
  <c r="Y14" i="2"/>
  <c r="Y46" i="2"/>
  <c r="Y78" i="2"/>
  <c r="Y179" i="2"/>
  <c r="Y211" i="2"/>
  <c r="Y243" i="2"/>
  <c r="Y92" i="2"/>
  <c r="Y180" i="2"/>
  <c r="Y212" i="2"/>
  <c r="Y130" i="2"/>
  <c r="Y246" i="2"/>
  <c r="Y21" i="2"/>
  <c r="Y53" i="2"/>
  <c r="Y85" i="2"/>
  <c r="Y117" i="2"/>
  <c r="Y149" i="2"/>
  <c r="Y16" i="2"/>
  <c r="Y48" i="2"/>
  <c r="Y80" i="2"/>
  <c r="Y181" i="2"/>
  <c r="Y213" i="2"/>
  <c r="Y245" i="2"/>
  <c r="Y112" i="2"/>
  <c r="Y182" i="2"/>
  <c r="Y214" i="2"/>
  <c r="Y154" i="2"/>
  <c r="Y140" i="2"/>
  <c r="Y25" i="2"/>
  <c r="Y57" i="2"/>
  <c r="Y89" i="2"/>
  <c r="Y121" i="2"/>
  <c r="Y153" i="2"/>
  <c r="Y20" i="2"/>
  <c r="Y52" i="2"/>
  <c r="Y84" i="2"/>
  <c r="Y185" i="2"/>
  <c r="Y217" i="2"/>
  <c r="Y249" i="2"/>
  <c r="Y126" i="2"/>
  <c r="Y186" i="2"/>
  <c r="Y218" i="2"/>
  <c r="Y166" i="2"/>
  <c r="Y160" i="2"/>
  <c r="Y29" i="2"/>
  <c r="Y61" i="2"/>
  <c r="Y93" i="2"/>
  <c r="Y125" i="2"/>
  <c r="Y157" i="2"/>
  <c r="Y24" i="2"/>
  <c r="Y56" i="2"/>
  <c r="Y90" i="2"/>
  <c r="Y189" i="2"/>
  <c r="Y221" i="2"/>
  <c r="Y253" i="2"/>
  <c r="Y98" i="2"/>
  <c r="Y190" i="2"/>
  <c r="Y222" i="2"/>
  <c r="Y244" i="2"/>
  <c r="Y138" i="2"/>
  <c r="Y31" i="2"/>
  <c r="Y63" i="2"/>
  <c r="Y95" i="2"/>
  <c r="Y127" i="2"/>
  <c r="Y159" i="2"/>
  <c r="Y26" i="2"/>
  <c r="Y58" i="2"/>
  <c r="Y124" i="2"/>
  <c r="Y191" i="2"/>
  <c r="Y223" i="2"/>
  <c r="Y255" i="2"/>
  <c r="Y108" i="2"/>
  <c r="Y192" i="2"/>
  <c r="Y224" i="2"/>
  <c r="Y248" i="2"/>
  <c r="Y250" i="2"/>
  <c r="Y33" i="2"/>
  <c r="Y65" i="2"/>
  <c r="Y97" i="2"/>
  <c r="Y129" i="2"/>
  <c r="Y161" i="2"/>
  <c r="Y28" i="2"/>
  <c r="Y60" i="2"/>
  <c r="Y152" i="2"/>
  <c r="Y193" i="2"/>
  <c r="Y225" i="2"/>
  <c r="Y257" i="2"/>
  <c r="Y122" i="2"/>
  <c r="Y194" i="2"/>
  <c r="Y226" i="2"/>
  <c r="Y94" i="2"/>
  <c r="Y23" i="2"/>
  <c r="Y183" i="2"/>
  <c r="Y216" i="2"/>
  <c r="Y27" i="2"/>
  <c r="Y187" i="2"/>
  <c r="Y55" i="2"/>
  <c r="Y215" i="2"/>
  <c r="Y188" i="2"/>
  <c r="Y18" i="2"/>
  <c r="Y59" i="2"/>
  <c r="Y219" i="2"/>
  <c r="Y87" i="2"/>
  <c r="Y247" i="2"/>
  <c r="Y91" i="2"/>
  <c r="Y251" i="2"/>
  <c r="Y119" i="2"/>
  <c r="Y156" i="2"/>
  <c r="Y123" i="2"/>
  <c r="Y162" i="2"/>
  <c r="Y155" i="2"/>
  <c r="Y151" i="2"/>
  <c r="Y184" i="2"/>
  <c r="Y54" i="2"/>
  <c r="Y240" i="2"/>
  <c r="Y236" i="2"/>
  <c r="Y82" i="2"/>
  <c r="Y86" i="2"/>
  <c r="Y242" i="2"/>
  <c r="Y22" i="2"/>
  <c r="Y50" i="2"/>
  <c r="Y220" i="2"/>
  <c r="Y114" i="2"/>
  <c r="U27" i="2"/>
  <c r="U59" i="2"/>
  <c r="U91" i="2"/>
  <c r="U123" i="2"/>
  <c r="U155" i="2"/>
  <c r="U24" i="2"/>
  <c r="U56" i="2"/>
  <c r="U88" i="2"/>
  <c r="U120" i="2"/>
  <c r="U178" i="2"/>
  <c r="U210" i="2"/>
  <c r="U242" i="2"/>
  <c r="U158" i="2"/>
  <c r="U255" i="2"/>
  <c r="U245" i="2"/>
  <c r="U187" i="2"/>
  <c r="U45" i="2"/>
  <c r="U106" i="2"/>
  <c r="U181" i="2"/>
  <c r="U111" i="2"/>
  <c r="U29" i="2"/>
  <c r="U61" i="2"/>
  <c r="U93" i="2"/>
  <c r="U125" i="2"/>
  <c r="U157" i="2"/>
  <c r="U26" i="2"/>
  <c r="U58" i="2"/>
  <c r="U90" i="2"/>
  <c r="U122" i="2"/>
  <c r="U180" i="2"/>
  <c r="U212" i="2"/>
  <c r="U244" i="2"/>
  <c r="U169" i="2"/>
  <c r="U235" i="2"/>
  <c r="U225" i="2"/>
  <c r="U243" i="2"/>
  <c r="U74" i="2"/>
  <c r="U15" i="2"/>
  <c r="U31" i="2"/>
  <c r="U63" i="2"/>
  <c r="U95" i="2"/>
  <c r="U127" i="2"/>
  <c r="U159" i="2"/>
  <c r="U28" i="2"/>
  <c r="U60" i="2"/>
  <c r="U92" i="2"/>
  <c r="U124" i="2"/>
  <c r="U182" i="2"/>
  <c r="U214" i="2"/>
  <c r="U246" i="2"/>
  <c r="U171" i="2"/>
  <c r="U227" i="2"/>
  <c r="U164" i="2"/>
  <c r="U247" i="2"/>
  <c r="U109" i="2"/>
  <c r="U196" i="2"/>
  <c r="U79" i="2"/>
  <c r="U33" i="2"/>
  <c r="U65" i="2"/>
  <c r="U97" i="2"/>
  <c r="U129" i="2"/>
  <c r="U161" i="2"/>
  <c r="U30" i="2"/>
  <c r="U62" i="2"/>
  <c r="U94" i="2"/>
  <c r="U126" i="2"/>
  <c r="U184" i="2"/>
  <c r="U216" i="2"/>
  <c r="U248" i="2"/>
  <c r="U173" i="2"/>
  <c r="U189" i="2"/>
  <c r="U191" i="2"/>
  <c r="U3" i="2"/>
  <c r="U35" i="2"/>
  <c r="U67" i="2"/>
  <c r="U99" i="2"/>
  <c r="U131" i="2"/>
  <c r="U163" i="2"/>
  <c r="U32" i="2"/>
  <c r="U64" i="2"/>
  <c r="U96" i="2"/>
  <c r="U138" i="2"/>
  <c r="U186" i="2"/>
  <c r="U218" i="2"/>
  <c r="U250" i="2"/>
  <c r="U175" i="2"/>
  <c r="U219" i="2"/>
  <c r="U207" i="2"/>
  <c r="U42" i="2"/>
  <c r="U249" i="2"/>
  <c r="U47" i="2"/>
  <c r="U5" i="2"/>
  <c r="U37" i="2"/>
  <c r="U69" i="2"/>
  <c r="U101" i="2"/>
  <c r="U133" i="2"/>
  <c r="U165" i="2"/>
  <c r="U34" i="2"/>
  <c r="U66" i="2"/>
  <c r="U98" i="2"/>
  <c r="U144" i="2"/>
  <c r="U188" i="2"/>
  <c r="U220" i="2"/>
  <c r="U252" i="2"/>
  <c r="U177" i="2"/>
  <c r="U183" i="2"/>
  <c r="U185" i="2"/>
  <c r="U141" i="2"/>
  <c r="U223" i="2"/>
  <c r="U44" i="2"/>
  <c r="U198" i="2"/>
  <c r="U7" i="2"/>
  <c r="U39" i="2"/>
  <c r="U71" i="2"/>
  <c r="U103" i="2"/>
  <c r="U135" i="2"/>
  <c r="U4" i="2"/>
  <c r="U36" i="2"/>
  <c r="U68" i="2"/>
  <c r="U100" i="2"/>
  <c r="U150" i="2"/>
  <c r="U190" i="2"/>
  <c r="U222" i="2"/>
  <c r="U254" i="2"/>
  <c r="U179" i="2"/>
  <c r="U209" i="2"/>
  <c r="U221" i="2"/>
  <c r="U77" i="2"/>
  <c r="U148" i="2"/>
  <c r="U12" i="2"/>
  <c r="U9" i="2"/>
  <c r="U41" i="2"/>
  <c r="U73" i="2"/>
  <c r="U105" i="2"/>
  <c r="U137" i="2"/>
  <c r="U6" i="2"/>
  <c r="U38" i="2"/>
  <c r="U70" i="2"/>
  <c r="U102" i="2"/>
  <c r="U167" i="2"/>
  <c r="U192" i="2"/>
  <c r="U224" i="2"/>
  <c r="U256" i="2"/>
  <c r="U201" i="2"/>
  <c r="U233" i="2"/>
  <c r="U205" i="2"/>
  <c r="U13" i="2"/>
  <c r="U156" i="2"/>
  <c r="U76" i="2"/>
  <c r="U11" i="2"/>
  <c r="U43" i="2"/>
  <c r="U75" i="2"/>
  <c r="U107" i="2"/>
  <c r="U139" i="2"/>
  <c r="U8" i="2"/>
  <c r="U40" i="2"/>
  <c r="U72" i="2"/>
  <c r="U104" i="2"/>
  <c r="U132" i="2"/>
  <c r="U194" i="2"/>
  <c r="U226" i="2"/>
  <c r="U136" i="2"/>
  <c r="U213" i="2"/>
  <c r="U241" i="2"/>
  <c r="U211" i="2"/>
  <c r="U21" i="2"/>
  <c r="U53" i="2"/>
  <c r="U85" i="2"/>
  <c r="U117" i="2"/>
  <c r="U149" i="2"/>
  <c r="U18" i="2"/>
  <c r="U50" i="2"/>
  <c r="U82" i="2"/>
  <c r="U114" i="2"/>
  <c r="U172" i="2"/>
  <c r="U204" i="2"/>
  <c r="U236" i="2"/>
  <c r="U166" i="2"/>
  <c r="U195" i="2"/>
  <c r="U134" i="2"/>
  <c r="U231" i="2"/>
  <c r="U55" i="2"/>
  <c r="U119" i="2"/>
  <c r="U20" i="2"/>
  <c r="U84" i="2"/>
  <c r="U174" i="2"/>
  <c r="U238" i="2"/>
  <c r="U140" i="2"/>
  <c r="U197" i="2"/>
  <c r="U23" i="2"/>
  <c r="U87" i="2"/>
  <c r="U151" i="2"/>
  <c r="U52" i="2"/>
  <c r="U116" i="2"/>
  <c r="U206" i="2"/>
  <c r="U251" i="2"/>
  <c r="U257" i="2"/>
  <c r="U25" i="2"/>
  <c r="U57" i="2"/>
  <c r="U89" i="2"/>
  <c r="U121" i="2"/>
  <c r="U153" i="2"/>
  <c r="U22" i="2"/>
  <c r="U54" i="2"/>
  <c r="U86" i="2"/>
  <c r="U118" i="2"/>
  <c r="U176" i="2"/>
  <c r="U208" i="2"/>
  <c r="U240" i="2"/>
  <c r="U146" i="2"/>
  <c r="U237" i="2"/>
  <c r="U215" i="2"/>
  <c r="U152" i="2"/>
  <c r="U10" i="2"/>
  <c r="U228" i="2"/>
  <c r="U143" i="2"/>
  <c r="U147" i="2"/>
  <c r="U232" i="2"/>
  <c r="U51" i="2"/>
  <c r="U193" i="2"/>
  <c r="U145" i="2"/>
  <c r="U14" i="2"/>
  <c r="U234" i="2"/>
  <c r="U112" i="2"/>
  <c r="U202" i="2"/>
  <c r="U16" i="2"/>
  <c r="U154" i="2"/>
  <c r="U253" i="2"/>
  <c r="U46" i="2"/>
  <c r="U130" i="2"/>
  <c r="U170" i="2"/>
  <c r="U230" i="2"/>
  <c r="U48" i="2"/>
  <c r="U160" i="2"/>
  <c r="U110" i="2"/>
  <c r="U78" i="2"/>
  <c r="U199" i="2"/>
  <c r="U203" i="2"/>
  <c r="U80" i="2"/>
  <c r="U239" i="2"/>
  <c r="U229" i="2"/>
  <c r="U17" i="2"/>
  <c r="U108" i="2"/>
  <c r="U128" i="2"/>
  <c r="U142" i="2"/>
  <c r="U83" i="2"/>
  <c r="U19" i="2"/>
  <c r="U49" i="2"/>
  <c r="U81" i="2"/>
  <c r="U168" i="2"/>
  <c r="U162" i="2"/>
  <c r="U115" i="2"/>
  <c r="U113" i="2"/>
  <c r="U200" i="2"/>
  <c r="U217" i="2"/>
  <c r="X9" i="2"/>
  <c r="X41" i="2"/>
  <c r="X73" i="2"/>
  <c r="X105" i="2"/>
  <c r="X137" i="2"/>
  <c r="X4" i="2"/>
  <c r="X36" i="2"/>
  <c r="X68" i="2"/>
  <c r="X179" i="2"/>
  <c r="X211" i="2"/>
  <c r="X243" i="2"/>
  <c r="X150" i="2"/>
  <c r="X168" i="2"/>
  <c r="X200" i="2"/>
  <c r="X148" i="2"/>
  <c r="X254" i="2"/>
  <c r="X13" i="2"/>
  <c r="X45" i="2"/>
  <c r="X77" i="2"/>
  <c r="X109" i="2"/>
  <c r="X141" i="2"/>
  <c r="X8" i="2"/>
  <c r="X40" i="2"/>
  <c r="X72" i="2"/>
  <c r="X183" i="2"/>
  <c r="X215" i="2"/>
  <c r="X247" i="2"/>
  <c r="X238" i="2"/>
  <c r="X172" i="2"/>
  <c r="X204" i="2"/>
  <c r="X130" i="2"/>
  <c r="X256" i="2"/>
  <c r="X17" i="2"/>
  <c r="X49" i="2"/>
  <c r="X81" i="2"/>
  <c r="X113" i="2"/>
  <c r="X145" i="2"/>
  <c r="X12" i="2"/>
  <c r="X44" i="2"/>
  <c r="X76" i="2"/>
  <c r="X187" i="2"/>
  <c r="X219" i="2"/>
  <c r="X251" i="2"/>
  <c r="X112" i="2"/>
  <c r="X176" i="2"/>
  <c r="X208" i="2"/>
  <c r="X94" i="2"/>
  <c r="X84" i="2"/>
  <c r="X19" i="2"/>
  <c r="X51" i="2"/>
  <c r="X83" i="2"/>
  <c r="X115" i="2"/>
  <c r="X147" i="2"/>
  <c r="X14" i="2"/>
  <c r="X46" i="2"/>
  <c r="X78" i="2"/>
  <c r="X189" i="2"/>
  <c r="X221" i="2"/>
  <c r="X253" i="2"/>
  <c r="X156" i="2"/>
  <c r="X178" i="2"/>
  <c r="X210" i="2"/>
  <c r="X160" i="2"/>
  <c r="X114" i="2"/>
  <c r="X21" i="2"/>
  <c r="X53" i="2"/>
  <c r="X85" i="2"/>
  <c r="X117" i="2"/>
  <c r="X149" i="2"/>
  <c r="X16" i="2"/>
  <c r="X48" i="2"/>
  <c r="X80" i="2"/>
  <c r="X191" i="2"/>
  <c r="X223" i="2"/>
  <c r="X255" i="2"/>
  <c r="X228" i="2"/>
  <c r="X180" i="2"/>
  <c r="X212" i="2"/>
  <c r="X100" i="2"/>
  <c r="X134" i="2"/>
  <c r="X23" i="2"/>
  <c r="X55" i="2"/>
  <c r="X87" i="2"/>
  <c r="X119" i="2"/>
  <c r="X151" i="2"/>
  <c r="X18" i="2"/>
  <c r="X50" i="2"/>
  <c r="X82" i="2"/>
  <c r="X193" i="2"/>
  <c r="X225" i="2"/>
  <c r="X257" i="2"/>
  <c r="X236" i="2"/>
  <c r="X182" i="2"/>
  <c r="X214" i="2"/>
  <c r="X140" i="2"/>
  <c r="X242" i="2"/>
  <c r="X25" i="2"/>
  <c r="X57" i="2"/>
  <c r="X89" i="2"/>
  <c r="X121" i="2"/>
  <c r="X153" i="2"/>
  <c r="X20" i="2"/>
  <c r="X52" i="2"/>
  <c r="X106" i="2"/>
  <c r="X195" i="2"/>
  <c r="X227" i="2"/>
  <c r="X116" i="2"/>
  <c r="X126" i="2"/>
  <c r="X184" i="2"/>
  <c r="X216" i="2"/>
  <c r="X232" i="2"/>
  <c r="X90" i="2"/>
  <c r="X27" i="2"/>
  <c r="X59" i="2"/>
  <c r="X91" i="2"/>
  <c r="X123" i="2"/>
  <c r="X155" i="2"/>
  <c r="X22" i="2"/>
  <c r="X54" i="2"/>
  <c r="X128" i="2"/>
  <c r="X197" i="2"/>
  <c r="X229" i="2"/>
  <c r="X96" i="2"/>
  <c r="X162" i="2"/>
  <c r="X186" i="2"/>
  <c r="X218" i="2"/>
  <c r="X152" i="2"/>
  <c r="X246" i="2"/>
  <c r="X31" i="2"/>
  <c r="X63" i="2"/>
  <c r="X95" i="2"/>
  <c r="X127" i="2"/>
  <c r="X159" i="2"/>
  <c r="X26" i="2"/>
  <c r="X58" i="2"/>
  <c r="X169" i="2"/>
  <c r="X201" i="2"/>
  <c r="X233" i="2"/>
  <c r="X164" i="2"/>
  <c r="X98" i="2"/>
  <c r="X190" i="2"/>
  <c r="X222" i="2"/>
  <c r="X244" i="2"/>
  <c r="X240" i="2"/>
  <c r="X5" i="2"/>
  <c r="X37" i="2"/>
  <c r="X69" i="2"/>
  <c r="X101" i="2"/>
  <c r="X133" i="2"/>
  <c r="X165" i="2"/>
  <c r="X32" i="2"/>
  <c r="X64" i="2"/>
  <c r="X175" i="2"/>
  <c r="X207" i="2"/>
  <c r="X239" i="2"/>
  <c r="X86" i="2"/>
  <c r="X136" i="2"/>
  <c r="X196" i="2"/>
  <c r="X88" i="2"/>
  <c r="X252" i="2"/>
  <c r="X7" i="2"/>
  <c r="X39" i="2"/>
  <c r="X71" i="2"/>
  <c r="X103" i="2"/>
  <c r="X135" i="2"/>
  <c r="X167" i="2"/>
  <c r="X34" i="2"/>
  <c r="X66" i="2"/>
  <c r="X177" i="2"/>
  <c r="X209" i="2"/>
  <c r="X241" i="2"/>
  <c r="X132" i="2"/>
  <c r="X142" i="2"/>
  <c r="X198" i="2"/>
  <c r="X104" i="2"/>
  <c r="X110" i="2"/>
  <c r="X79" i="2"/>
  <c r="X24" i="2"/>
  <c r="X203" i="2"/>
  <c r="X122" i="2"/>
  <c r="X146" i="2"/>
  <c r="X230" i="2"/>
  <c r="X158" i="2"/>
  <c r="X93" i="2"/>
  <c r="X28" i="2"/>
  <c r="X205" i="2"/>
  <c r="X170" i="2"/>
  <c r="X124" i="2"/>
  <c r="X97" i="2"/>
  <c r="X30" i="2"/>
  <c r="X213" i="2"/>
  <c r="X174" i="2"/>
  <c r="X250" i="2"/>
  <c r="X138" i="2"/>
  <c r="X99" i="2"/>
  <c r="X38" i="2"/>
  <c r="X217" i="2"/>
  <c r="X188" i="2"/>
  <c r="X3" i="2"/>
  <c r="X107" i="2"/>
  <c r="X42" i="2"/>
  <c r="X231" i="2"/>
  <c r="X192" i="2"/>
  <c r="X139" i="2"/>
  <c r="X120" i="2"/>
  <c r="X11" i="2"/>
  <c r="X111" i="2"/>
  <c r="X56" i="2"/>
  <c r="X235" i="2"/>
  <c r="X194" i="2"/>
  <c r="X234" i="2"/>
  <c r="X15" i="2"/>
  <c r="X125" i="2"/>
  <c r="X60" i="2"/>
  <c r="X237" i="2"/>
  <c r="X202" i="2"/>
  <c r="X143" i="2"/>
  <c r="X29" i="2"/>
  <c r="X129" i="2"/>
  <c r="X62" i="2"/>
  <c r="X245" i="2"/>
  <c r="X206" i="2"/>
  <c r="X43" i="2"/>
  <c r="X33" i="2"/>
  <c r="X131" i="2"/>
  <c r="X70" i="2"/>
  <c r="X249" i="2"/>
  <c r="X220" i="2"/>
  <c r="X35" i="2"/>
  <c r="X74" i="2"/>
  <c r="X65" i="2"/>
  <c r="X163" i="2"/>
  <c r="X181" i="2"/>
  <c r="X92" i="2"/>
  <c r="X166" i="2"/>
  <c r="X67" i="2"/>
  <c r="X6" i="2"/>
  <c r="X185" i="2"/>
  <c r="X224" i="2"/>
  <c r="X248" i="2"/>
  <c r="X75" i="2"/>
  <c r="X10" i="2"/>
  <c r="X199" i="2"/>
  <c r="X108" i="2"/>
  <c r="X144" i="2"/>
  <c r="X47" i="2"/>
  <c r="X61" i="2"/>
  <c r="X157" i="2"/>
  <c r="X118" i="2"/>
  <c r="X161" i="2"/>
  <c r="X171" i="2"/>
  <c r="X173" i="2"/>
  <c r="X226" i="2"/>
  <c r="X102" i="2"/>
  <c r="X154" i="2"/>
  <c r="W12" i="2"/>
  <c r="W44" i="2"/>
  <c r="W76" i="2"/>
  <c r="W108" i="2"/>
  <c r="W132" i="2"/>
  <c r="W23" i="2"/>
  <c r="W236" i="2"/>
  <c r="W170" i="2"/>
  <c r="W202" i="2"/>
  <c r="W234" i="2"/>
  <c r="W130" i="2"/>
  <c r="W29" i="2"/>
  <c r="W9" i="2"/>
  <c r="W237" i="2"/>
  <c r="W257" i="2"/>
  <c r="W221" i="2"/>
  <c r="W20" i="2"/>
  <c r="W52" i="2"/>
  <c r="W84" i="2"/>
  <c r="W116" i="2"/>
  <c r="W138" i="2"/>
  <c r="W153" i="2"/>
  <c r="W35" i="2"/>
  <c r="W178" i="2"/>
  <c r="W210" i="2"/>
  <c r="W252" i="2"/>
  <c r="W27" i="2"/>
  <c r="W137" i="2"/>
  <c r="W223" i="2"/>
  <c r="W209" i="2"/>
  <c r="W39" i="2"/>
  <c r="W205" i="2"/>
  <c r="W22" i="2"/>
  <c r="W54" i="2"/>
  <c r="W86" i="2"/>
  <c r="W118" i="2"/>
  <c r="W85" i="2"/>
  <c r="W156" i="2"/>
  <c r="W67" i="2"/>
  <c r="W180" i="2"/>
  <c r="W212" i="2"/>
  <c r="W15" i="2"/>
  <c r="W59" i="2"/>
  <c r="W143" i="2"/>
  <c r="W155" i="2"/>
  <c r="W233" i="2"/>
  <c r="W89" i="2"/>
  <c r="W211" i="2"/>
  <c r="W24" i="2"/>
  <c r="W56" i="2"/>
  <c r="W88" i="2"/>
  <c r="W120" i="2"/>
  <c r="W135" i="2"/>
  <c r="W240" i="2"/>
  <c r="W97" i="2"/>
  <c r="W182" i="2"/>
  <c r="W214" i="2"/>
  <c r="W47" i="2"/>
  <c r="W93" i="2"/>
  <c r="W146" i="2"/>
  <c r="W175" i="2"/>
  <c r="W241" i="2"/>
  <c r="W191" i="2"/>
  <c r="W51" i="2"/>
  <c r="W26" i="2"/>
  <c r="W58" i="2"/>
  <c r="W90" i="2"/>
  <c r="W122" i="2"/>
  <c r="W11" i="2"/>
  <c r="W248" i="2"/>
  <c r="W121" i="2"/>
  <c r="W184" i="2"/>
  <c r="W216" i="2"/>
  <c r="W79" i="2"/>
  <c r="W113" i="2"/>
  <c r="W7" i="2"/>
  <c r="W195" i="2"/>
  <c r="W245" i="2"/>
  <c r="W225" i="2"/>
  <c r="W140" i="2"/>
  <c r="W28" i="2"/>
  <c r="W60" i="2"/>
  <c r="W92" i="2"/>
  <c r="W124" i="2"/>
  <c r="W43" i="2"/>
  <c r="W256" i="2"/>
  <c r="W165" i="2"/>
  <c r="W186" i="2"/>
  <c r="W218" i="2"/>
  <c r="W87" i="2"/>
  <c r="W157" i="2"/>
  <c r="W181" i="2"/>
  <c r="W251" i="2"/>
  <c r="W41" i="2"/>
  <c r="W253" i="2"/>
  <c r="W199" i="2"/>
  <c r="W30" i="2"/>
  <c r="W62" i="2"/>
  <c r="W94" i="2"/>
  <c r="W126" i="2"/>
  <c r="W75" i="2"/>
  <c r="W13" i="2"/>
  <c r="W250" i="2"/>
  <c r="W188" i="2"/>
  <c r="W220" i="2"/>
  <c r="W34" i="2"/>
  <c r="W66" i="2"/>
  <c r="W98" i="2"/>
  <c r="W63" i="2"/>
  <c r="W141" i="2"/>
  <c r="W77" i="2"/>
  <c r="W57" i="2"/>
  <c r="W192" i="2"/>
  <c r="W224" i="2"/>
  <c r="W145" i="2"/>
  <c r="W49" i="2"/>
  <c r="W193" i="2"/>
  <c r="W73" i="2"/>
  <c r="W169" i="2"/>
  <c r="W173" i="2"/>
  <c r="W8" i="2"/>
  <c r="W40" i="2"/>
  <c r="W72" i="2"/>
  <c r="W104" i="2"/>
  <c r="W164" i="2"/>
  <c r="W33" i="2"/>
  <c r="W159" i="2"/>
  <c r="W142" i="2"/>
  <c r="W198" i="2"/>
  <c r="W230" i="2"/>
  <c r="W37" i="2"/>
  <c r="W163" i="2"/>
  <c r="W247" i="2"/>
  <c r="W219" i="2"/>
  <c r="W229" i="2"/>
  <c r="W10" i="2"/>
  <c r="W42" i="2"/>
  <c r="W74" i="2"/>
  <c r="W106" i="2"/>
  <c r="W65" i="2"/>
  <c r="W111" i="2"/>
  <c r="W162" i="2"/>
  <c r="W168" i="2"/>
  <c r="W200" i="2"/>
  <c r="W232" i="2"/>
  <c r="W69" i="2"/>
  <c r="W166" i="2"/>
  <c r="W105" i="2"/>
  <c r="W183" i="2"/>
  <c r="W70" i="2"/>
  <c r="W101" i="2"/>
  <c r="W174" i="2"/>
  <c r="W148" i="2"/>
  <c r="W71" i="2"/>
  <c r="W197" i="2"/>
  <c r="W78" i="2"/>
  <c r="W144" i="2"/>
  <c r="W176" i="2"/>
  <c r="W5" i="2"/>
  <c r="W128" i="2"/>
  <c r="W215" i="2"/>
  <c r="W123" i="2"/>
  <c r="W80" i="2"/>
  <c r="W167" i="2"/>
  <c r="W190" i="2"/>
  <c r="W133" i="2"/>
  <c r="W201" i="2"/>
  <c r="W152" i="2"/>
  <c r="W246" i="2"/>
  <c r="W150" i="2"/>
  <c r="W4" i="2"/>
  <c r="W82" i="2"/>
  <c r="W55" i="2"/>
  <c r="W194" i="2"/>
  <c r="W151" i="2"/>
  <c r="W179" i="2"/>
  <c r="W231" i="2"/>
  <c r="W6" i="2"/>
  <c r="W96" i="2"/>
  <c r="W91" i="2"/>
  <c r="W196" i="2"/>
  <c r="W154" i="2"/>
  <c r="W19" i="2"/>
  <c r="W149" i="2"/>
  <c r="W226" i="2"/>
  <c r="W254" i="2"/>
  <c r="W14" i="2"/>
  <c r="W100" i="2"/>
  <c r="W125" i="2"/>
  <c r="W204" i="2"/>
  <c r="W160" i="2"/>
  <c r="W109" i="2"/>
  <c r="W185" i="2"/>
  <c r="W119" i="2"/>
  <c r="W217" i="2"/>
  <c r="W16" i="2"/>
  <c r="W102" i="2"/>
  <c r="W45" i="2"/>
  <c r="W206" i="2"/>
  <c r="W17" i="2"/>
  <c r="W189" i="2"/>
  <c r="W249" i="2"/>
  <c r="W114" i="2"/>
  <c r="W228" i="2"/>
  <c r="W18" i="2"/>
  <c r="W110" i="2"/>
  <c r="W107" i="2"/>
  <c r="W208" i="2"/>
  <c r="W81" i="2"/>
  <c r="W131" i="2"/>
  <c r="W171" i="2"/>
  <c r="W83" i="2"/>
  <c r="W31" i="2"/>
  <c r="W32" i="2"/>
  <c r="W112" i="2"/>
  <c r="W129" i="2"/>
  <c r="W222" i="2"/>
  <c r="W127" i="2"/>
  <c r="W255" i="2"/>
  <c r="W187" i="2"/>
  <c r="W36" i="2"/>
  <c r="W50" i="2"/>
  <c r="W21" i="2"/>
  <c r="W136" i="2"/>
  <c r="W244" i="2"/>
  <c r="W213" i="2"/>
  <c r="W203" i="2"/>
  <c r="W64" i="2"/>
  <c r="W53" i="2"/>
  <c r="W139" i="2"/>
  <c r="W103" i="2"/>
  <c r="W243" i="2"/>
  <c r="W99" i="2"/>
  <c r="W68" i="2"/>
  <c r="W115" i="2"/>
  <c r="W172" i="2"/>
  <c r="W117" i="2"/>
  <c r="W207" i="2"/>
  <c r="W147" i="2"/>
  <c r="W61" i="2"/>
  <c r="W38" i="2"/>
  <c r="W3" i="2"/>
  <c r="W25" i="2"/>
  <c r="W238" i="2"/>
  <c r="W242" i="2"/>
  <c r="W239" i="2"/>
  <c r="W134" i="2"/>
  <c r="W161" i="2"/>
  <c r="W227" i="2"/>
  <c r="W46" i="2"/>
  <c r="W158" i="2"/>
  <c r="W177" i="2"/>
  <c r="W235" i="2"/>
  <c r="W48" i="2"/>
  <c r="W95" i="2"/>
  <c r="V13" i="2"/>
  <c r="V45" i="2"/>
  <c r="V77" i="2"/>
  <c r="V109" i="2"/>
  <c r="V141" i="2"/>
  <c r="V21" i="2"/>
  <c r="V53" i="2"/>
  <c r="V85" i="2"/>
  <c r="V23" i="2"/>
  <c r="V55" i="2"/>
  <c r="V25" i="2"/>
  <c r="V57" i="2"/>
  <c r="V89" i="2"/>
  <c r="V121" i="2"/>
  <c r="V153" i="2"/>
  <c r="V27" i="2"/>
  <c r="V59" i="2"/>
  <c r="V91" i="2"/>
  <c r="V123" i="2"/>
  <c r="V29" i="2"/>
  <c r="V61" i="2"/>
  <c r="V93" i="2"/>
  <c r="V125" i="2"/>
  <c r="V3" i="2"/>
  <c r="V11" i="2"/>
  <c r="V67" i="2"/>
  <c r="V111" i="2"/>
  <c r="V151" i="2"/>
  <c r="V20" i="2"/>
  <c r="V52" i="2"/>
  <c r="V84" i="2"/>
  <c r="V116" i="2"/>
  <c r="V248" i="2"/>
  <c r="V190" i="2"/>
  <c r="V222" i="2"/>
  <c r="V166" i="2"/>
  <c r="V239" i="2"/>
  <c r="V177" i="2"/>
  <c r="V217" i="2"/>
  <c r="V41" i="2"/>
  <c r="V176" i="2"/>
  <c r="V43" i="2"/>
  <c r="V178" i="2"/>
  <c r="V15" i="2"/>
  <c r="V69" i="2"/>
  <c r="V113" i="2"/>
  <c r="V155" i="2"/>
  <c r="V22" i="2"/>
  <c r="V54" i="2"/>
  <c r="V86" i="2"/>
  <c r="V118" i="2"/>
  <c r="V256" i="2"/>
  <c r="V192" i="2"/>
  <c r="V224" i="2"/>
  <c r="V140" i="2"/>
  <c r="V187" i="2"/>
  <c r="V203" i="2"/>
  <c r="V231" i="2"/>
  <c r="V135" i="2"/>
  <c r="V104" i="2"/>
  <c r="V17" i="2"/>
  <c r="V71" i="2"/>
  <c r="V115" i="2"/>
  <c r="V157" i="2"/>
  <c r="V24" i="2"/>
  <c r="V56" i="2"/>
  <c r="V88" i="2"/>
  <c r="V120" i="2"/>
  <c r="V240" i="2"/>
  <c r="V194" i="2"/>
  <c r="V226" i="2"/>
  <c r="V152" i="2"/>
  <c r="V156" i="2"/>
  <c r="V229" i="2"/>
  <c r="V257" i="2"/>
  <c r="V38" i="2"/>
  <c r="V251" i="2"/>
  <c r="V136" i="2"/>
  <c r="V19" i="2"/>
  <c r="V73" i="2"/>
  <c r="V117" i="2"/>
  <c r="V159" i="2"/>
  <c r="V26" i="2"/>
  <c r="V58" i="2"/>
  <c r="V90" i="2"/>
  <c r="V122" i="2"/>
  <c r="V252" i="2"/>
  <c r="V196" i="2"/>
  <c r="V228" i="2"/>
  <c r="V207" i="2"/>
  <c r="V183" i="2"/>
  <c r="V215" i="2"/>
  <c r="V181" i="2"/>
  <c r="V31" i="2"/>
  <c r="V75" i="2"/>
  <c r="V119" i="2"/>
  <c r="V161" i="2"/>
  <c r="V28" i="2"/>
  <c r="V60" i="2"/>
  <c r="V92" i="2"/>
  <c r="V124" i="2"/>
  <c r="V142" i="2"/>
  <c r="V198" i="2"/>
  <c r="V230" i="2"/>
  <c r="V247" i="2"/>
  <c r="V237" i="2"/>
  <c r="V245" i="2"/>
  <c r="V95" i="2"/>
  <c r="V102" i="2"/>
  <c r="V249" i="2"/>
  <c r="V72" i="2"/>
  <c r="V33" i="2"/>
  <c r="V79" i="2"/>
  <c r="V127" i="2"/>
  <c r="V163" i="2"/>
  <c r="V30" i="2"/>
  <c r="V62" i="2"/>
  <c r="V94" i="2"/>
  <c r="V126" i="2"/>
  <c r="V168" i="2"/>
  <c r="V200" i="2"/>
  <c r="V232" i="2"/>
  <c r="V243" i="2"/>
  <c r="V255" i="2"/>
  <c r="V197" i="2"/>
  <c r="V208" i="2"/>
  <c r="V40" i="2"/>
  <c r="V209" i="2"/>
  <c r="V35" i="2"/>
  <c r="V81" i="2"/>
  <c r="V129" i="2"/>
  <c r="V165" i="2"/>
  <c r="V32" i="2"/>
  <c r="V64" i="2"/>
  <c r="V96" i="2"/>
  <c r="V128" i="2"/>
  <c r="V170" i="2"/>
  <c r="V202" i="2"/>
  <c r="V234" i="2"/>
  <c r="V201" i="2"/>
  <c r="V233" i="2"/>
  <c r="V191" i="2"/>
  <c r="V6" i="2"/>
  <c r="V244" i="2"/>
  <c r="V8" i="2"/>
  <c r="V246" i="2"/>
  <c r="V37" i="2"/>
  <c r="V83" i="2"/>
  <c r="V131" i="2"/>
  <c r="V167" i="2"/>
  <c r="V34" i="2"/>
  <c r="V66" i="2"/>
  <c r="V98" i="2"/>
  <c r="V130" i="2"/>
  <c r="V172" i="2"/>
  <c r="V204" i="2"/>
  <c r="V236" i="2"/>
  <c r="V213" i="2"/>
  <c r="V211" i="2"/>
  <c r="V164" i="2"/>
  <c r="V134" i="2"/>
  <c r="V137" i="2"/>
  <c r="V205" i="2"/>
  <c r="V39" i="2"/>
  <c r="V87" i="2"/>
  <c r="V133" i="2"/>
  <c r="V4" i="2"/>
  <c r="V36" i="2"/>
  <c r="V68" i="2"/>
  <c r="V100" i="2"/>
  <c r="V132" i="2"/>
  <c r="V174" i="2"/>
  <c r="V206" i="2"/>
  <c r="V238" i="2"/>
  <c r="V223" i="2"/>
  <c r="V227" i="2"/>
  <c r="V185" i="2"/>
  <c r="V5" i="2"/>
  <c r="V51" i="2"/>
  <c r="V103" i="2"/>
  <c r="V145" i="2"/>
  <c r="V14" i="2"/>
  <c r="V46" i="2"/>
  <c r="V78" i="2"/>
  <c r="V110" i="2"/>
  <c r="V150" i="2"/>
  <c r="V184" i="2"/>
  <c r="V216" i="2"/>
  <c r="V148" i="2"/>
  <c r="V195" i="2"/>
  <c r="V253" i="2"/>
  <c r="V199" i="2"/>
  <c r="V105" i="2"/>
  <c r="V162" i="2"/>
  <c r="V218" i="2"/>
  <c r="V189" i="2"/>
  <c r="V235" i="2"/>
  <c r="V7" i="2"/>
  <c r="V63" i="2"/>
  <c r="V147" i="2"/>
  <c r="V16" i="2"/>
  <c r="V48" i="2"/>
  <c r="V80" i="2"/>
  <c r="V112" i="2"/>
  <c r="V186" i="2"/>
  <c r="V154" i="2"/>
  <c r="V158" i="2"/>
  <c r="V9" i="2"/>
  <c r="V65" i="2"/>
  <c r="V107" i="2"/>
  <c r="V149" i="2"/>
  <c r="V18" i="2"/>
  <c r="V50" i="2"/>
  <c r="V82" i="2"/>
  <c r="V114" i="2"/>
  <c r="V242" i="2"/>
  <c r="V188" i="2"/>
  <c r="V220" i="2"/>
  <c r="V160" i="2"/>
  <c r="V219" i="2"/>
  <c r="V169" i="2"/>
  <c r="V193" i="2"/>
  <c r="V70" i="2"/>
  <c r="V146" i="2"/>
  <c r="V97" i="2"/>
  <c r="V210" i="2"/>
  <c r="V10" i="2"/>
  <c r="V173" i="2"/>
  <c r="V144" i="2"/>
  <c r="V12" i="2"/>
  <c r="V175" i="2"/>
  <c r="V241" i="2"/>
  <c r="V42" i="2"/>
  <c r="V180" i="2"/>
  <c r="V99" i="2"/>
  <c r="V143" i="2"/>
  <c r="V44" i="2"/>
  <c r="V225" i="2"/>
  <c r="V74" i="2"/>
  <c r="V171" i="2"/>
  <c r="V76" i="2"/>
  <c r="V179" i="2"/>
  <c r="V47" i="2"/>
  <c r="V254" i="2"/>
  <c r="V106" i="2"/>
  <c r="V221" i="2"/>
  <c r="V108" i="2"/>
  <c r="V138" i="2"/>
  <c r="V212" i="2"/>
  <c r="V49" i="2"/>
  <c r="V182" i="2"/>
  <c r="V101" i="2"/>
  <c r="V214" i="2"/>
  <c r="V139" i="2"/>
  <c r="V250" i="2"/>
  <c r="Z2" i="2"/>
  <c r="Y2" i="2"/>
  <c r="X2" i="2"/>
  <c r="W2" i="2"/>
  <c r="V2" i="2"/>
  <c r="U2" i="2"/>
  <c r="AA2" i="2"/>
  <c r="K2" i="1" l="1"/>
  <c r="AL129" i="2"/>
  <c r="AR129" i="2" s="1"/>
  <c r="AL16" i="2"/>
  <c r="AR16" i="2" s="1"/>
  <c r="AL51" i="2"/>
  <c r="AR51" i="2" s="1"/>
  <c r="AL156" i="2"/>
  <c r="AR156" i="2" s="1"/>
  <c r="AL251" i="2"/>
  <c r="AR251" i="2" s="1"/>
  <c r="AL77" i="2"/>
  <c r="AR77" i="2" s="1"/>
  <c r="AL210" i="2"/>
  <c r="AR210" i="2" s="1"/>
  <c r="AL60" i="2"/>
  <c r="AR60" i="2" s="1"/>
  <c r="AL109" i="2"/>
  <c r="AR109" i="2" s="1"/>
  <c r="AL35" i="2"/>
  <c r="AR35" i="2" s="1"/>
  <c r="AL76" i="2"/>
  <c r="AR76" i="2" s="1"/>
  <c r="AL37" i="2"/>
  <c r="AR37" i="2" s="1"/>
  <c r="AL153" i="2"/>
  <c r="AR153" i="2" s="1"/>
  <c r="AL43" i="2"/>
  <c r="AR43" i="2" s="1"/>
  <c r="AL104" i="2"/>
  <c r="AR104" i="2" s="1"/>
  <c r="AL81" i="2"/>
  <c r="AR81" i="2" s="1"/>
  <c r="AL63" i="2"/>
  <c r="AR63" i="2" s="1"/>
  <c r="AL57" i="2"/>
  <c r="AR57" i="2" s="1"/>
  <c r="AL110" i="2"/>
  <c r="AR110" i="2" s="1"/>
  <c r="AL27" i="2"/>
  <c r="AR27" i="2" s="1"/>
  <c r="AL249" i="2"/>
  <c r="AR249" i="2" s="1"/>
  <c r="AL114" i="2"/>
  <c r="AR114" i="2" s="1"/>
  <c r="AL46" i="2"/>
  <c r="AR46" i="2" s="1"/>
  <c r="AL58" i="2"/>
  <c r="AR58" i="2" s="1"/>
  <c r="AL107" i="2"/>
  <c r="AR107" i="2" s="1"/>
  <c r="AL169" i="2"/>
  <c r="AR169" i="2" s="1"/>
  <c r="AL185" i="2"/>
  <c r="AR185" i="2" s="1"/>
  <c r="AL203" i="2"/>
  <c r="AR203" i="2" s="1"/>
  <c r="AL146" i="2"/>
  <c r="AR146" i="2" s="1"/>
  <c r="AL225" i="2"/>
  <c r="AR225" i="2" s="1"/>
  <c r="AL183" i="2"/>
  <c r="AR183" i="2" s="1"/>
  <c r="AL188" i="2"/>
  <c r="AR188" i="2" s="1"/>
  <c r="AL74" i="2"/>
  <c r="AR74" i="2" s="1"/>
  <c r="AL28" i="2"/>
  <c r="AR28" i="2" s="1"/>
  <c r="AL171" i="2"/>
  <c r="AR171" i="2" s="1"/>
  <c r="AL240" i="2"/>
  <c r="AR240" i="2" s="1"/>
  <c r="AL161" i="2"/>
  <c r="AR161" i="2" s="1"/>
  <c r="AL44" i="2"/>
  <c r="AR44" i="2" s="1"/>
  <c r="AL72" i="2"/>
  <c r="AR72" i="2" s="1"/>
  <c r="AL121" i="2"/>
  <c r="AR121" i="2" s="1"/>
  <c r="AL151" i="2"/>
  <c r="AR151" i="2" s="1"/>
  <c r="AL213" i="2"/>
  <c r="AR213" i="2" s="1"/>
  <c r="AL11" i="2"/>
  <c r="AR11" i="2" s="1"/>
  <c r="AL176" i="2"/>
  <c r="AR176" i="2" s="1"/>
  <c r="AL172" i="2"/>
  <c r="AR172" i="2" s="1"/>
  <c r="AL234" i="2"/>
  <c r="AR234" i="2" s="1"/>
  <c r="AL90" i="2"/>
  <c r="AR90" i="2" s="1"/>
  <c r="AL139" i="2"/>
  <c r="AR139" i="2" s="1"/>
  <c r="AL201" i="2"/>
  <c r="AR201" i="2" s="1"/>
  <c r="AL256" i="2"/>
  <c r="AR256" i="2" s="1"/>
  <c r="AL250" i="2"/>
  <c r="AR250" i="2" s="1"/>
  <c r="AL215" i="2"/>
  <c r="AR215" i="2" s="1"/>
  <c r="AL19" i="2"/>
  <c r="AR19" i="2" s="1"/>
  <c r="AL237" i="2"/>
  <c r="AR237" i="2" s="1"/>
  <c r="AL116" i="2"/>
  <c r="AR116" i="2" s="1"/>
  <c r="AL193" i="2"/>
  <c r="AR193" i="2" s="1"/>
  <c r="AL8" i="2"/>
  <c r="AR8" i="2" s="1"/>
  <c r="AL5" i="2"/>
  <c r="AR5" i="2" s="1"/>
  <c r="AL61" i="2"/>
  <c r="AR61" i="2" s="1"/>
  <c r="AL149" i="2"/>
  <c r="AR149" i="2" s="1"/>
  <c r="AL179" i="2"/>
  <c r="AR179" i="2" s="1"/>
  <c r="AL79" i="2"/>
  <c r="AR79" i="2" s="1"/>
  <c r="AL233" i="2"/>
  <c r="AR233" i="2" s="1"/>
  <c r="AL157" i="2"/>
  <c r="AR157" i="2" s="1"/>
  <c r="AL26" i="2"/>
  <c r="AR26" i="2" s="1"/>
  <c r="AL49" i="2"/>
  <c r="AR49" i="2" s="1"/>
  <c r="AL137" i="2"/>
  <c r="AR137" i="2" s="1"/>
  <c r="AL3" i="2"/>
  <c r="AR3" i="2" s="1"/>
  <c r="AL228" i="2"/>
  <c r="AR228" i="2" s="1"/>
  <c r="AL152" i="2"/>
  <c r="AR152" i="2" s="1"/>
  <c r="AL180" i="2"/>
  <c r="AR180" i="2" s="1"/>
  <c r="AL178" i="2"/>
  <c r="AR178" i="2" s="1"/>
  <c r="AL235" i="2"/>
  <c r="AR235" i="2" s="1"/>
  <c r="AL70" i="2"/>
  <c r="AR70" i="2" s="1"/>
  <c r="AL100" i="2"/>
  <c r="AR100" i="2" s="1"/>
  <c r="AL117" i="2"/>
  <c r="AR117" i="2" s="1"/>
  <c r="AL147" i="2"/>
  <c r="AR147" i="2" s="1"/>
  <c r="AL85" i="2"/>
  <c r="AR85" i="2" s="1"/>
  <c r="AL170" i="2"/>
  <c r="AR170" i="2" s="1"/>
  <c r="AL142" i="2"/>
  <c r="AR142" i="2" s="1"/>
  <c r="AL132" i="2"/>
  <c r="AR132" i="2" s="1"/>
  <c r="AL88" i="2"/>
  <c r="AR88" i="2" s="1"/>
  <c r="AL105" i="2"/>
  <c r="AR105" i="2" s="1"/>
  <c r="AL31" i="2"/>
  <c r="AR31" i="2" s="1"/>
  <c r="AL101" i="2"/>
  <c r="AR101" i="2" s="1"/>
  <c r="AL126" i="2"/>
  <c r="AR126" i="2" s="1"/>
  <c r="AL211" i="2"/>
  <c r="AR211" i="2" s="1"/>
  <c r="AL196" i="2"/>
  <c r="AR196" i="2" s="1"/>
  <c r="AL226" i="2"/>
  <c r="AR226" i="2" s="1"/>
  <c r="AL154" i="2"/>
  <c r="AR154" i="2" s="1"/>
  <c r="AL174" i="2"/>
  <c r="AR174" i="2" s="1"/>
  <c r="AL38" i="2"/>
  <c r="AR38" i="2" s="1"/>
  <c r="AL68" i="2"/>
  <c r="AR68" i="2" s="1"/>
  <c r="AL29" i="2"/>
  <c r="AR29" i="2" s="1"/>
  <c r="AL115" i="2"/>
  <c r="AR115" i="2" s="1"/>
  <c r="AL209" i="2"/>
  <c r="AR209" i="2" s="1"/>
  <c r="AL166" i="2"/>
  <c r="AR166" i="2" s="1"/>
  <c r="AL89" i="2"/>
  <c r="AR89" i="2" s="1"/>
  <c r="AL182" i="2"/>
  <c r="AR182" i="2" s="1"/>
  <c r="AL56" i="2"/>
  <c r="AR56" i="2" s="1"/>
  <c r="AL17" i="2"/>
  <c r="AR17" i="2" s="1"/>
  <c r="AL199" i="2"/>
  <c r="AR199" i="2" s="1"/>
  <c r="AL229" i="2"/>
  <c r="AR229" i="2" s="1"/>
  <c r="AL12" i="2"/>
  <c r="AR12" i="2" s="1"/>
  <c r="AL95" i="2"/>
  <c r="AR95" i="2" s="1"/>
  <c r="AL214" i="2"/>
  <c r="AR214" i="2" s="1"/>
  <c r="AL144" i="2"/>
  <c r="AR144" i="2" s="1"/>
  <c r="AL125" i="2"/>
  <c r="AR125" i="2" s="1"/>
  <c r="AL6" i="2"/>
  <c r="AR6" i="2" s="1"/>
  <c r="AL36" i="2"/>
  <c r="AR36" i="2" s="1"/>
  <c r="AL98" i="2"/>
  <c r="AR98" i="2" s="1"/>
  <c r="AL71" i="2"/>
  <c r="AR71" i="2" s="1"/>
  <c r="AL177" i="2"/>
  <c r="AR177" i="2" s="1"/>
  <c r="AL247" i="2"/>
  <c r="AR247" i="2" s="1"/>
  <c r="AL242" i="2"/>
  <c r="AR242" i="2" s="1"/>
  <c r="AL69" i="2"/>
  <c r="AR69" i="2" s="1"/>
  <c r="AL24" i="2"/>
  <c r="AR24" i="2" s="1"/>
  <c r="AL86" i="2"/>
  <c r="AR86" i="2" s="1"/>
  <c r="AL167" i="2"/>
  <c r="AR167" i="2" s="1"/>
  <c r="AL197" i="2"/>
  <c r="AR197" i="2" s="1"/>
  <c r="AL227" i="2"/>
  <c r="AR227" i="2" s="1"/>
  <c r="AL45" i="2"/>
  <c r="AR45" i="2" s="1"/>
  <c r="AL148" i="2"/>
  <c r="AR148" i="2" s="1"/>
  <c r="AL224" i="2"/>
  <c r="AR224" i="2" s="1"/>
  <c r="AL221" i="2"/>
  <c r="AR221" i="2" s="1"/>
  <c r="AL4" i="2"/>
  <c r="AR4" i="2" s="1"/>
  <c r="AL66" i="2"/>
  <c r="AR66" i="2" s="1"/>
  <c r="AL96" i="2"/>
  <c r="AR96" i="2" s="1"/>
  <c r="AL145" i="2"/>
  <c r="AR145" i="2" s="1"/>
  <c r="AL47" i="2"/>
  <c r="AR47" i="2" s="1"/>
  <c r="AL162" i="2"/>
  <c r="AR162" i="2" s="1"/>
  <c r="AL134" i="2"/>
  <c r="AR134" i="2" s="1"/>
  <c r="AL236" i="2"/>
  <c r="AR236" i="2" s="1"/>
  <c r="AL54" i="2"/>
  <c r="AR54" i="2" s="1"/>
  <c r="AL135" i="2"/>
  <c r="AR135" i="2" s="1"/>
  <c r="AL165" i="2"/>
  <c r="AR165" i="2" s="1"/>
  <c r="AL239" i="2"/>
  <c r="AR239" i="2" s="1"/>
  <c r="AL195" i="2"/>
  <c r="AR195" i="2" s="1"/>
  <c r="AL252" i="2"/>
  <c r="AR252" i="2" s="1"/>
  <c r="AL244" i="2"/>
  <c r="AR244" i="2" s="1"/>
  <c r="AL128" i="2"/>
  <c r="AR128" i="2" s="1"/>
  <c r="AL192" i="2"/>
  <c r="AR192" i="2" s="1"/>
  <c r="AL87" i="2"/>
  <c r="AR87" i="2" s="1"/>
  <c r="AL34" i="2"/>
  <c r="AR34" i="2" s="1"/>
  <c r="AL64" i="2"/>
  <c r="AR64" i="2" s="1"/>
  <c r="AL113" i="2"/>
  <c r="AR113" i="2" s="1"/>
  <c r="AL53" i="2"/>
  <c r="AR53" i="2" s="1"/>
  <c r="AL122" i="2"/>
  <c r="AR122" i="2" s="1"/>
  <c r="AL218" i="2"/>
  <c r="AR218" i="2" s="1"/>
  <c r="AL42" i="2"/>
  <c r="AR42" i="2" s="1"/>
  <c r="AL22" i="2"/>
  <c r="AR22" i="2" s="1"/>
  <c r="AL93" i="2"/>
  <c r="AR93" i="2" s="1"/>
  <c r="AL133" i="2"/>
  <c r="AR133" i="2" s="1"/>
  <c r="AL181" i="2"/>
  <c r="AR181" i="2" s="1"/>
  <c r="AL163" i="2"/>
  <c r="AR163" i="2" s="1"/>
  <c r="AL55" i="2"/>
  <c r="AR55" i="2" s="1"/>
  <c r="AL231" i="2"/>
  <c r="AR231" i="2" s="1"/>
  <c r="AL138" i="2"/>
  <c r="AR138" i="2" s="1"/>
  <c r="AL112" i="2"/>
  <c r="AR112" i="2" s="1"/>
  <c r="AL189" i="2"/>
  <c r="AR189" i="2" s="1"/>
  <c r="AL164" i="2"/>
  <c r="AR164" i="2" s="1"/>
  <c r="AL32" i="2"/>
  <c r="AR32" i="2" s="1"/>
  <c r="AL39" i="2"/>
  <c r="AR39" i="2" s="1"/>
  <c r="AL207" i="2"/>
  <c r="AR207" i="2" s="1"/>
  <c r="AL245" i="2"/>
  <c r="AR245" i="2" s="1"/>
  <c r="AL200" i="2"/>
  <c r="AR200" i="2" s="1"/>
  <c r="AL118" i="2"/>
  <c r="AR118" i="2" s="1"/>
  <c r="AL120" i="2"/>
  <c r="AR120" i="2" s="1"/>
  <c r="AL102" i="2"/>
  <c r="AR102" i="2" s="1"/>
  <c r="AL73" i="2"/>
  <c r="AR73" i="2" s="1"/>
  <c r="AL131" i="2"/>
  <c r="AR131" i="2" s="1"/>
  <c r="AL223" i="2"/>
  <c r="AR223" i="2" s="1"/>
  <c r="AL65" i="2"/>
  <c r="AR65" i="2" s="1"/>
  <c r="AL160" i="2"/>
  <c r="AR160" i="2" s="1"/>
  <c r="AL238" i="2"/>
  <c r="AR238" i="2" s="1"/>
  <c r="AL168" i="2"/>
  <c r="AR168" i="2" s="1"/>
  <c r="AL216" i="2"/>
  <c r="AR216" i="2" s="1"/>
  <c r="AL212" i="2"/>
  <c r="AR212" i="2" s="1"/>
  <c r="AL94" i="2"/>
  <c r="AR94" i="2" s="1"/>
  <c r="AL175" i="2"/>
  <c r="AR175" i="2" s="1"/>
  <c r="AL15" i="2"/>
  <c r="AR15" i="2" s="1"/>
  <c r="AL124" i="2"/>
  <c r="AR124" i="2" s="1"/>
  <c r="AL186" i="2"/>
  <c r="AR186" i="2" s="1"/>
  <c r="AL14" i="2"/>
  <c r="AR14" i="2" s="1"/>
  <c r="AL84" i="2"/>
  <c r="AR84" i="2" s="1"/>
  <c r="AL91" i="2"/>
  <c r="AR91" i="2" s="1"/>
  <c r="AL119" i="2"/>
  <c r="AR119" i="2" s="1"/>
  <c r="AL41" i="2"/>
  <c r="AR41" i="2" s="1"/>
  <c r="AL191" i="2"/>
  <c r="AR191" i="2" s="1"/>
  <c r="AL219" i="2"/>
  <c r="AR219" i="2" s="1"/>
  <c r="AL257" i="2"/>
  <c r="AR257" i="2" s="1"/>
  <c r="AL198" i="2"/>
  <c r="AR198" i="2" s="1"/>
  <c r="AL232" i="2"/>
  <c r="AR232" i="2" s="1"/>
  <c r="AL150" i="2"/>
  <c r="AR150" i="2" s="1"/>
  <c r="AL9" i="2"/>
  <c r="AR9" i="2" s="1"/>
  <c r="AL62" i="2"/>
  <c r="AR62" i="2" s="1"/>
  <c r="AL143" i="2"/>
  <c r="AR143" i="2" s="1"/>
  <c r="AL21" i="2"/>
  <c r="AR21" i="2" s="1"/>
  <c r="AL106" i="2"/>
  <c r="AR106" i="2" s="1"/>
  <c r="AL158" i="2"/>
  <c r="AR158" i="2" s="1"/>
  <c r="AL194" i="2"/>
  <c r="AR194" i="2" s="1"/>
  <c r="AL52" i="2"/>
  <c r="AR52" i="2" s="1"/>
  <c r="AL82" i="2"/>
  <c r="AR82" i="2" s="1"/>
  <c r="AL97" i="2"/>
  <c r="AR97" i="2" s="1"/>
  <c r="AL202" i="2"/>
  <c r="AR202" i="2" s="1"/>
  <c r="AL59" i="2"/>
  <c r="AR59" i="2" s="1"/>
  <c r="AL159" i="2"/>
  <c r="AR159" i="2" s="1"/>
  <c r="AL187" i="2"/>
  <c r="AR187" i="2" s="1"/>
  <c r="AL222" i="2"/>
  <c r="AR222" i="2" s="1"/>
  <c r="AL255" i="2"/>
  <c r="AR255" i="2" s="1"/>
  <c r="AL248" i="2"/>
  <c r="AR248" i="2" s="1"/>
  <c r="AL206" i="2"/>
  <c r="AR206" i="2" s="1"/>
  <c r="AL83" i="2"/>
  <c r="AR83" i="2" s="1"/>
  <c r="AL30" i="2"/>
  <c r="AR30" i="2" s="1"/>
  <c r="AL111" i="2"/>
  <c r="AR111" i="2" s="1"/>
  <c r="AL205" i="2"/>
  <c r="AR205" i="2" s="1"/>
  <c r="AL243" i="2"/>
  <c r="AR243" i="2" s="1"/>
  <c r="AL108" i="2"/>
  <c r="AR108" i="2" s="1"/>
  <c r="AL10" i="2"/>
  <c r="AR10" i="2" s="1"/>
  <c r="AL20" i="2"/>
  <c r="AR20" i="2" s="1"/>
  <c r="AL50" i="2"/>
  <c r="AR50" i="2" s="1"/>
  <c r="AL13" i="2"/>
  <c r="AR13" i="2" s="1"/>
  <c r="AL80" i="2"/>
  <c r="AR80" i="2" s="1"/>
  <c r="AL127" i="2"/>
  <c r="AR127" i="2" s="1"/>
  <c r="AL155" i="2"/>
  <c r="AR155" i="2" s="1"/>
  <c r="AL33" i="2"/>
  <c r="AR33" i="2" s="1"/>
  <c r="AL190" i="2"/>
  <c r="AR190" i="2" s="1"/>
  <c r="AL254" i="2"/>
  <c r="AR254" i="2" s="1"/>
  <c r="AL220" i="2"/>
  <c r="AR220" i="2" s="1"/>
  <c r="AL184" i="2"/>
  <c r="AR184" i="2" s="1"/>
  <c r="AL136" i="2"/>
  <c r="AR136" i="2" s="1"/>
  <c r="AL7" i="2"/>
  <c r="AR7" i="2" s="1"/>
  <c r="AL173" i="2"/>
  <c r="AR173" i="2" s="1"/>
  <c r="AL67" i="2"/>
  <c r="AR67" i="2" s="1"/>
  <c r="AL230" i="2"/>
  <c r="AR230" i="2" s="1"/>
  <c r="AL25" i="2"/>
  <c r="AR25" i="2" s="1"/>
  <c r="AL23" i="2"/>
  <c r="AR23" i="2" s="1"/>
  <c r="AL18" i="2"/>
  <c r="AR18" i="2" s="1"/>
  <c r="AL246" i="2"/>
  <c r="AR246" i="2" s="1"/>
  <c r="AL40" i="2"/>
  <c r="AR40" i="2" s="1"/>
  <c r="AL48" i="2"/>
  <c r="AR48" i="2" s="1"/>
  <c r="AL99" i="2"/>
  <c r="AR99" i="2" s="1"/>
  <c r="AL123" i="2"/>
  <c r="AR123" i="2" s="1"/>
  <c r="AL217" i="2"/>
  <c r="AR217" i="2" s="1"/>
  <c r="AL75" i="2"/>
  <c r="AR75" i="2" s="1"/>
  <c r="AL253" i="2"/>
  <c r="AR253" i="2" s="1"/>
  <c r="AL208" i="2"/>
  <c r="AR208" i="2" s="1"/>
  <c r="AL130" i="2"/>
  <c r="AR130" i="2" s="1"/>
  <c r="AL78" i="2"/>
  <c r="AR78" i="2" s="1"/>
  <c r="AL92" i="2"/>
  <c r="AR92" i="2" s="1"/>
  <c r="AL141" i="2"/>
  <c r="AR141" i="2" s="1"/>
  <c r="AL103" i="2"/>
  <c r="AR103" i="2" s="1"/>
  <c r="AL241" i="2"/>
  <c r="AR241" i="2" s="1"/>
  <c r="AL140" i="2"/>
  <c r="AR140" i="2" s="1"/>
  <c r="AL204" i="2"/>
  <c r="AR204" i="2" s="1"/>
  <c r="AL2" i="2"/>
  <c r="AR2" i="2" s="1"/>
  <c r="AB229" i="2"/>
  <c r="AB202" i="2"/>
  <c r="AB226" i="2"/>
  <c r="AB146" i="2"/>
  <c r="AB166" i="2"/>
  <c r="AB136" i="2"/>
  <c r="AB205" i="2"/>
  <c r="AB34" i="2"/>
  <c r="AB138" i="2"/>
  <c r="AB246" i="2"/>
  <c r="AB59" i="2"/>
  <c r="AB52" i="2"/>
  <c r="AB236" i="2"/>
  <c r="AB233" i="2"/>
  <c r="AB148" i="2"/>
  <c r="AB214" i="2"/>
  <c r="AB169" i="2"/>
  <c r="AB112" i="2"/>
  <c r="AB208" i="2"/>
  <c r="AB151" i="2"/>
  <c r="AB204" i="2"/>
  <c r="AB133" i="2"/>
  <c r="AB182" i="2"/>
  <c r="AB244" i="2"/>
  <c r="AB187" i="2"/>
  <c r="AB45" i="2"/>
  <c r="AB239" i="2"/>
  <c r="AB108" i="2"/>
  <c r="AB154" i="2"/>
  <c r="AB237" i="2"/>
  <c r="AB206" i="2"/>
  <c r="AB195" i="2"/>
  <c r="AB213" i="2"/>
  <c r="AB103" i="2"/>
  <c r="AB66" i="2"/>
  <c r="AB186" i="2"/>
  <c r="AB184" i="2"/>
  <c r="AB171" i="2"/>
  <c r="AB225" i="2"/>
  <c r="AB181" i="2"/>
  <c r="AB91" i="2"/>
  <c r="AB126" i="2"/>
  <c r="AB96" i="2"/>
  <c r="AB217" i="2"/>
  <c r="AB80" i="2"/>
  <c r="AB234" i="2"/>
  <c r="AB176" i="2"/>
  <c r="AB87" i="2"/>
  <c r="AB172" i="2"/>
  <c r="AB132" i="2"/>
  <c r="AB256" i="2"/>
  <c r="AB221" i="2"/>
  <c r="AB198" i="2"/>
  <c r="AB101" i="2"/>
  <c r="AB124" i="2"/>
  <c r="AB212" i="2"/>
  <c r="AB245" i="2"/>
  <c r="AB39" i="2"/>
  <c r="AB64" i="2"/>
  <c r="AB200" i="2"/>
  <c r="AB203" i="2"/>
  <c r="AB118" i="2"/>
  <c r="AB114" i="2"/>
  <c r="AB104" i="2"/>
  <c r="AB224" i="2"/>
  <c r="AB209" i="2"/>
  <c r="AB44" i="2"/>
  <c r="AB69" i="2"/>
  <c r="AB163" i="2"/>
  <c r="AB161" i="2"/>
  <c r="AB92" i="2"/>
  <c r="AB180" i="2"/>
  <c r="AB255" i="2"/>
  <c r="AB235" i="2"/>
  <c r="AB113" i="2"/>
  <c r="AB199" i="2"/>
  <c r="AB145" i="2"/>
  <c r="AB86" i="2"/>
  <c r="AB197" i="2"/>
  <c r="AB82" i="2"/>
  <c r="AB72" i="2"/>
  <c r="AB192" i="2"/>
  <c r="AB179" i="2"/>
  <c r="AB223" i="2"/>
  <c r="AB37" i="2"/>
  <c r="AB131" i="2"/>
  <c r="AB129" i="2"/>
  <c r="AB60" i="2"/>
  <c r="AB122" i="2"/>
  <c r="AB158" i="2"/>
  <c r="AB115" i="2"/>
  <c r="AB78" i="2"/>
  <c r="AB193" i="2"/>
  <c r="AB54" i="2"/>
  <c r="AB140" i="2"/>
  <c r="AB50" i="2"/>
  <c r="AB40" i="2"/>
  <c r="AB167" i="2"/>
  <c r="AB254" i="2"/>
  <c r="AB141" i="2"/>
  <c r="AB99" i="2"/>
  <c r="AB97" i="2"/>
  <c r="AB90" i="2"/>
  <c r="AB242" i="2"/>
  <c r="AB165" i="2"/>
  <c r="AB194" i="2"/>
  <c r="AB62" i="2"/>
  <c r="AB162" i="2"/>
  <c r="AB110" i="2"/>
  <c r="AB51" i="2"/>
  <c r="AB238" i="2"/>
  <c r="AB102" i="2"/>
  <c r="AB222" i="2"/>
  <c r="AB185" i="2"/>
  <c r="AB47" i="2"/>
  <c r="AB67" i="2"/>
  <c r="AB65" i="2"/>
  <c r="AB159" i="2"/>
  <c r="AB58" i="2"/>
  <c r="AB210" i="2"/>
  <c r="AB71" i="2"/>
  <c r="AB168" i="2"/>
  <c r="AB160" i="2"/>
  <c r="AB232" i="2"/>
  <c r="AB153" i="2"/>
  <c r="AB174" i="2"/>
  <c r="AB149" i="2"/>
  <c r="AB139" i="2"/>
  <c r="AB70" i="2"/>
  <c r="AB190" i="2"/>
  <c r="AB183" i="2"/>
  <c r="AB249" i="2"/>
  <c r="AB35" i="2"/>
  <c r="AB127" i="2"/>
  <c r="AB178" i="2"/>
  <c r="AB116" i="2"/>
  <c r="AB77" i="2"/>
  <c r="AB81" i="2"/>
  <c r="AB48" i="2"/>
  <c r="AB147" i="2"/>
  <c r="AB121" i="2"/>
  <c r="AB84" i="2"/>
  <c r="AB117" i="2"/>
  <c r="AB107" i="2"/>
  <c r="AB38" i="2"/>
  <c r="AB150" i="2"/>
  <c r="AB177" i="2"/>
  <c r="AB42" i="2"/>
  <c r="AB79" i="2"/>
  <c r="AB95" i="2"/>
  <c r="AB157" i="2"/>
  <c r="AB120" i="2"/>
  <c r="AB240" i="2"/>
  <c r="AB49" i="2"/>
  <c r="AB230" i="2"/>
  <c r="AB143" i="2"/>
  <c r="AB89" i="2"/>
  <c r="AB85" i="2"/>
  <c r="AB75" i="2"/>
  <c r="AB100" i="2"/>
  <c r="AB252" i="2"/>
  <c r="AB207" i="2"/>
  <c r="AB191" i="2"/>
  <c r="AB196" i="2"/>
  <c r="AB63" i="2"/>
  <c r="AB125" i="2"/>
  <c r="AB88" i="2"/>
  <c r="AB170" i="2"/>
  <c r="AB228" i="2"/>
  <c r="AB57" i="2"/>
  <c r="AB119" i="2"/>
  <c r="AB53" i="2"/>
  <c r="AB43" i="2"/>
  <c r="AB137" i="2"/>
  <c r="AB68" i="2"/>
  <c r="AB220" i="2"/>
  <c r="AB219" i="2"/>
  <c r="AB189" i="2"/>
  <c r="AB109" i="2"/>
  <c r="AB93" i="2"/>
  <c r="AB56" i="2"/>
  <c r="AB83" i="2"/>
  <c r="AB130" i="2"/>
  <c r="AB55" i="2"/>
  <c r="AB105" i="2"/>
  <c r="AB36" i="2"/>
  <c r="AB188" i="2"/>
  <c r="AB175" i="2"/>
  <c r="AB173" i="2"/>
  <c r="AB247" i="2"/>
  <c r="AB61" i="2"/>
  <c r="AB142" i="2"/>
  <c r="AB46" i="2"/>
  <c r="AB152" i="2"/>
  <c r="AB257" i="2"/>
  <c r="AB231" i="2"/>
  <c r="AB211" i="2"/>
  <c r="AB76" i="2"/>
  <c r="AB73" i="2"/>
  <c r="AB144" i="2"/>
  <c r="AB250" i="2"/>
  <c r="AB248" i="2"/>
  <c r="AB164" i="2"/>
  <c r="AB74" i="2"/>
  <c r="AB155" i="2"/>
  <c r="AB106" i="2"/>
  <c r="AB94" i="2"/>
  <c r="AB201" i="2"/>
  <c r="AB128" i="2"/>
  <c r="AB253" i="2"/>
  <c r="AB215" i="2"/>
  <c r="AB251" i="2"/>
  <c r="AB134" i="2"/>
  <c r="AB241" i="2"/>
  <c r="AB156" i="2"/>
  <c r="AB41" i="2"/>
  <c r="AB135" i="2"/>
  <c r="AB98" i="2"/>
  <c r="AB218" i="2"/>
  <c r="AB216" i="2"/>
  <c r="AB227" i="2"/>
  <c r="AB243" i="2"/>
  <c r="AB111" i="2"/>
  <c r="AB123" i="2"/>
  <c r="AB13" i="2"/>
  <c r="AB9" i="2"/>
  <c r="AB17" i="2"/>
  <c r="AB12" i="2"/>
  <c r="AB16" i="2"/>
  <c r="AB27" i="2"/>
  <c r="AB14" i="2"/>
  <c r="AB23" i="2"/>
  <c r="AB32" i="2"/>
  <c r="AB7" i="2"/>
  <c r="AB5" i="2"/>
  <c r="AB28" i="2"/>
  <c r="AB22" i="2"/>
  <c r="AB18" i="2"/>
  <c r="AB8" i="2"/>
  <c r="AB33" i="2"/>
  <c r="AB26" i="2"/>
  <c r="AB30" i="2"/>
  <c r="AB3" i="2"/>
  <c r="AB20" i="2"/>
  <c r="AB6" i="2"/>
  <c r="AB10" i="2"/>
  <c r="AB25" i="2"/>
  <c r="AB21" i="2"/>
  <c r="AB11" i="2"/>
  <c r="AB15" i="2"/>
  <c r="AB24" i="2"/>
  <c r="AB4" i="2"/>
  <c r="AB29" i="2"/>
  <c r="AB19" i="2"/>
  <c r="AB31" i="2"/>
  <c r="AB2" i="2"/>
  <c r="K5" i="1"/>
  <c r="K8" i="1"/>
  <c r="K4" i="1"/>
  <c r="K3" i="1"/>
  <c r="K7" i="1"/>
  <c r="K9" i="1"/>
  <c r="K6" i="1"/>
  <c r="AR258" i="2" l="1"/>
  <c r="B14" i="1" s="1"/>
  <c r="AN123" i="2"/>
  <c r="AQ123" i="2" s="1"/>
  <c r="AN31" i="2"/>
  <c r="AQ31" i="2" s="1"/>
  <c r="AN94" i="2"/>
  <c r="AQ94" i="2" s="1"/>
  <c r="AN61" i="2"/>
  <c r="AQ61" i="2" s="1"/>
  <c r="AN68" i="2"/>
  <c r="AQ68" i="2" s="1"/>
  <c r="AN117" i="2"/>
  <c r="AQ117" i="2" s="1"/>
  <c r="AN149" i="2"/>
  <c r="AQ149" i="2" s="1"/>
  <c r="AN238" i="2"/>
  <c r="AQ238" i="2" s="1"/>
  <c r="AN176" i="2"/>
  <c r="AQ176" i="2" s="1"/>
  <c r="AN148" i="2"/>
  <c r="AQ148" i="2" s="1"/>
  <c r="AN19" i="2"/>
  <c r="AQ19" i="2" s="1"/>
  <c r="AN137" i="2"/>
  <c r="AQ137" i="2" s="1"/>
  <c r="AN85" i="2"/>
  <c r="AQ85" i="2" s="1"/>
  <c r="AN51" i="2"/>
  <c r="AQ51" i="2" s="1"/>
  <c r="AN234" i="2"/>
  <c r="AQ234" i="2" s="1"/>
  <c r="AN142" i="2"/>
  <c r="AQ142" i="2" s="1"/>
  <c r="AN110" i="2"/>
  <c r="AQ110" i="2" s="1"/>
  <c r="AN203" i="2"/>
  <c r="AQ203" i="2" s="1"/>
  <c r="AN53" i="2"/>
  <c r="AQ53" i="2" s="1"/>
  <c r="AN18" i="2"/>
  <c r="AQ18" i="2" s="1"/>
  <c r="AN24" i="2"/>
  <c r="AQ24" i="2" s="1"/>
  <c r="AN119" i="2"/>
  <c r="AQ119" i="2" s="1"/>
  <c r="AN230" i="2"/>
  <c r="AQ230" i="2" s="1"/>
  <c r="AN15" i="2"/>
  <c r="AQ15" i="2" s="1"/>
  <c r="AN248" i="2"/>
  <c r="AQ248" i="2" s="1"/>
  <c r="AN39" i="2"/>
  <c r="AQ39" i="2" s="1"/>
  <c r="AN120" i="2"/>
  <c r="AQ120" i="2" s="1"/>
  <c r="AN242" i="2"/>
  <c r="AQ242" i="2" s="1"/>
  <c r="AN60" i="2"/>
  <c r="AQ60" i="2" s="1"/>
  <c r="AN240" i="2"/>
  <c r="AQ240" i="2" s="1"/>
  <c r="AN58" i="2"/>
  <c r="AQ58" i="2" s="1"/>
  <c r="AN182" i="2"/>
  <c r="AQ182" i="2" s="1"/>
  <c r="AN228" i="2"/>
  <c r="AQ228" i="2" s="1"/>
  <c r="AN171" i="2"/>
  <c r="AQ171" i="2" s="1"/>
  <c r="AN222" i="2"/>
  <c r="AQ222" i="2" s="1"/>
  <c r="AN105" i="2"/>
  <c r="AQ105" i="2" s="1"/>
  <c r="AN26" i="2"/>
  <c r="AQ26" i="2" s="1"/>
  <c r="AN165" i="2"/>
  <c r="AQ165" i="2" s="1"/>
  <c r="AN69" i="2"/>
  <c r="AQ69" i="2" s="1"/>
  <c r="AN250" i="2"/>
  <c r="AQ250" i="2" s="1"/>
  <c r="AN9" i="2"/>
  <c r="AQ9" i="2" s="1"/>
  <c r="AN152" i="2"/>
  <c r="AQ152" i="2" s="1"/>
  <c r="AN150" i="2"/>
  <c r="AQ150" i="2" s="1"/>
  <c r="AN135" i="2"/>
  <c r="AQ135" i="2" s="1"/>
  <c r="AN210" i="2"/>
  <c r="AQ210" i="2" s="1"/>
  <c r="AN76" i="2"/>
  <c r="AQ76" i="2" s="1"/>
  <c r="AN201" i="2"/>
  <c r="AQ201" i="2" s="1"/>
  <c r="AN216" i="2"/>
  <c r="AQ216" i="2" s="1"/>
  <c r="AN74" i="2"/>
  <c r="AQ74" i="2" s="1"/>
  <c r="AN164" i="2"/>
  <c r="AQ164" i="2" s="1"/>
  <c r="AN155" i="2"/>
  <c r="AQ155" i="2" s="1"/>
  <c r="AN129" i="2"/>
  <c r="AQ129" i="2" s="1"/>
  <c r="AN63" i="2"/>
  <c r="AQ63" i="2" s="1"/>
  <c r="AN145" i="2"/>
  <c r="AQ145" i="2" s="1"/>
  <c r="AN166" i="2"/>
  <c r="AQ166" i="2" s="1"/>
  <c r="AN177" i="2"/>
  <c r="AQ177" i="2" s="1"/>
  <c r="AN132" i="2"/>
  <c r="AQ132" i="2" s="1"/>
  <c r="AN122" i="2"/>
  <c r="AQ122" i="2" s="1"/>
  <c r="AN156" i="2"/>
  <c r="AQ156" i="2" s="1"/>
  <c r="AN27" i="2"/>
  <c r="AQ27" i="2" s="1"/>
  <c r="AN134" i="2"/>
  <c r="AQ134" i="2" s="1"/>
  <c r="AN56" i="2"/>
  <c r="AQ56" i="2" s="1"/>
  <c r="AN3" i="2"/>
  <c r="AQ3" i="2" s="1"/>
  <c r="AN215" i="2"/>
  <c r="AQ215" i="2" s="1"/>
  <c r="AN207" i="2"/>
  <c r="AQ207" i="2" s="1"/>
  <c r="AN153" i="2"/>
  <c r="AQ153" i="2" s="1"/>
  <c r="AN41" i="2"/>
  <c r="AQ41" i="2" s="1"/>
  <c r="AN125" i="2"/>
  <c r="AQ125" i="2" s="1"/>
  <c r="AN55" i="2"/>
  <c r="AQ55" i="2" s="1"/>
  <c r="AN109" i="2"/>
  <c r="AQ109" i="2" s="1"/>
  <c r="AN245" i="2"/>
  <c r="AQ245" i="2" s="1"/>
  <c r="AN83" i="2"/>
  <c r="AQ83" i="2" s="1"/>
  <c r="AN161" i="2"/>
  <c r="AQ161" i="2" s="1"/>
  <c r="AN101" i="2"/>
  <c r="AQ101" i="2" s="1"/>
  <c r="AN251" i="2"/>
  <c r="AQ251" i="2" s="1"/>
  <c r="AN249" i="2"/>
  <c r="AQ249" i="2" s="1"/>
  <c r="AN17" i="2"/>
  <c r="AQ17" i="2" s="1"/>
  <c r="AN254" i="2"/>
  <c r="AQ254" i="2" s="1"/>
  <c r="AN30" i="2"/>
  <c r="AQ30" i="2" s="1"/>
  <c r="AN100" i="2"/>
  <c r="AQ100" i="2" s="1"/>
  <c r="AN82" i="2"/>
  <c r="AQ82" i="2" s="1"/>
  <c r="AN247" i="2"/>
  <c r="AQ247" i="2" s="1"/>
  <c r="AN174" i="2"/>
  <c r="AQ174" i="2" s="1"/>
  <c r="AN57" i="2"/>
  <c r="AQ57" i="2" s="1"/>
  <c r="AN49" i="2"/>
  <c r="AQ49" i="2" s="1"/>
  <c r="AN126" i="2"/>
  <c r="AQ126" i="2" s="1"/>
  <c r="AN11" i="2"/>
  <c r="AQ11" i="2" s="1"/>
  <c r="AN77" i="2"/>
  <c r="AQ77" i="2" s="1"/>
  <c r="AN21" i="2"/>
  <c r="AQ21" i="2" s="1"/>
  <c r="AN144" i="2"/>
  <c r="AQ144" i="2" s="1"/>
  <c r="AN124" i="2"/>
  <c r="AQ124" i="2" s="1"/>
  <c r="AN42" i="2"/>
  <c r="AQ42" i="2" s="1"/>
  <c r="AN44" i="2"/>
  <c r="AQ44" i="2" s="1"/>
  <c r="AN10" i="2"/>
  <c r="AQ10" i="2" s="1"/>
  <c r="AN25" i="2"/>
  <c r="AQ25" i="2" s="1"/>
  <c r="AN253" i="2"/>
  <c r="AQ253" i="2" s="1"/>
  <c r="AN190" i="2"/>
  <c r="AQ190" i="2" s="1"/>
  <c r="AN2" i="2"/>
  <c r="AQ2" i="2" s="1"/>
  <c r="AN139" i="2"/>
  <c r="AQ139" i="2" s="1"/>
  <c r="AN33" i="2"/>
  <c r="AQ33" i="2" s="1"/>
  <c r="AN89" i="2"/>
  <c r="AQ89" i="2" s="1"/>
  <c r="AN28" i="2"/>
  <c r="AQ28" i="2" s="1"/>
  <c r="AN255" i="2"/>
  <c r="AQ255" i="2" s="1"/>
  <c r="AN212" i="2"/>
  <c r="AQ212" i="2" s="1"/>
  <c r="AN32" i="2"/>
  <c r="AQ32" i="2" s="1"/>
  <c r="AN88" i="2"/>
  <c r="AQ88" i="2" s="1"/>
  <c r="AN16" i="2"/>
  <c r="AQ16" i="2" s="1"/>
  <c r="AN35" i="2"/>
  <c r="AQ35" i="2" s="1"/>
  <c r="AN99" i="2"/>
  <c r="AQ99" i="2" s="1"/>
  <c r="AN47" i="2"/>
  <c r="AQ47" i="2" s="1"/>
  <c r="AN256" i="2"/>
  <c r="AQ256" i="2" s="1"/>
  <c r="AN184" i="2"/>
  <c r="AQ184" i="2" s="1"/>
  <c r="AN37" i="2"/>
  <c r="AQ37" i="2" s="1"/>
  <c r="AN20" i="2"/>
  <c r="AQ20" i="2" s="1"/>
  <c r="AN36" i="2"/>
  <c r="AQ36" i="2" s="1"/>
  <c r="AN79" i="2"/>
  <c r="AQ79" i="2" s="1"/>
  <c r="AN104" i="2"/>
  <c r="AQ104" i="2" s="1"/>
  <c r="AN147" i="2"/>
  <c r="AQ147" i="2" s="1"/>
  <c r="AN241" i="2"/>
  <c r="AQ241" i="2" s="1"/>
  <c r="AN231" i="2"/>
  <c r="AQ231" i="2" s="1"/>
  <c r="AN23" i="2"/>
  <c r="AQ23" i="2" s="1"/>
  <c r="AN6" i="2"/>
  <c r="AQ6" i="2" s="1"/>
  <c r="AN185" i="2"/>
  <c r="AQ185" i="2" s="1"/>
  <c r="AN252" i="2"/>
  <c r="AQ252" i="2" s="1"/>
  <c r="AN188" i="2"/>
  <c r="AQ188" i="2" s="1"/>
  <c r="AN81" i="2"/>
  <c r="AQ81" i="2" s="1"/>
  <c r="AN71" i="2"/>
  <c r="AQ71" i="2" s="1"/>
  <c r="AN170" i="2"/>
  <c r="AQ170" i="2" s="1"/>
  <c r="AN244" i="2"/>
  <c r="AQ244" i="2" s="1"/>
  <c r="AN157" i="2"/>
  <c r="AQ157" i="2" s="1"/>
  <c r="AN98" i="2"/>
  <c r="AQ98" i="2" s="1"/>
  <c r="AN38" i="2"/>
  <c r="AQ38" i="2" s="1"/>
  <c r="AN96" i="2"/>
  <c r="AQ96" i="2" s="1"/>
  <c r="AN168" i="2"/>
  <c r="AQ168" i="2" s="1"/>
  <c r="AN187" i="2"/>
  <c r="AQ187" i="2" s="1"/>
  <c r="AN138" i="2"/>
  <c r="AQ138" i="2" s="1"/>
  <c r="AN34" i="2"/>
  <c r="AQ34" i="2" s="1"/>
  <c r="AN90" i="2"/>
  <c r="AQ90" i="2" s="1"/>
  <c r="AN225" i="2"/>
  <c r="AQ225" i="2" s="1"/>
  <c r="AN127" i="2"/>
  <c r="AQ127" i="2" s="1"/>
  <c r="AN159" i="2"/>
  <c r="AQ159" i="2" s="1"/>
  <c r="AN97" i="2"/>
  <c r="AQ97" i="2" s="1"/>
  <c r="AN131" i="2"/>
  <c r="AQ131" i="2" s="1"/>
  <c r="AN65" i="2"/>
  <c r="AQ65" i="2" s="1"/>
  <c r="AN163" i="2"/>
  <c r="AQ163" i="2" s="1"/>
  <c r="AN198" i="2"/>
  <c r="AQ198" i="2" s="1"/>
  <c r="AN141" i="2"/>
  <c r="AQ141" i="2" s="1"/>
  <c r="AN223" i="2"/>
  <c r="AQ223" i="2" s="1"/>
  <c r="AN221" i="2"/>
  <c r="AQ221" i="2" s="1"/>
  <c r="AN146" i="2"/>
  <c r="AQ146" i="2" s="1"/>
  <c r="AN257" i="2"/>
  <c r="AQ257" i="2" s="1"/>
  <c r="AN191" i="2"/>
  <c r="AQ191" i="2" s="1"/>
  <c r="AN183" i="2"/>
  <c r="AQ183" i="2" s="1"/>
  <c r="AN179" i="2"/>
  <c r="AQ179" i="2" s="1"/>
  <c r="AN189" i="2"/>
  <c r="AQ189" i="2" s="1"/>
  <c r="AN209" i="2"/>
  <c r="AQ209" i="2" s="1"/>
  <c r="AN103" i="2"/>
  <c r="AQ103" i="2" s="1"/>
  <c r="AN202" i="2"/>
  <c r="AQ202" i="2" s="1"/>
  <c r="AN128" i="2"/>
  <c r="AQ128" i="2" s="1"/>
  <c r="AN40" i="2"/>
  <c r="AQ40" i="2" s="1"/>
  <c r="AN224" i="2"/>
  <c r="AQ224" i="2" s="1"/>
  <c r="AN172" i="2"/>
  <c r="AQ172" i="2" s="1"/>
  <c r="AN116" i="2"/>
  <c r="AQ116" i="2" s="1"/>
  <c r="AN192" i="2"/>
  <c r="AQ192" i="2" s="1"/>
  <c r="AN13" i="2"/>
  <c r="AQ13" i="2" s="1"/>
  <c r="AN46" i="2"/>
  <c r="AQ46" i="2" s="1"/>
  <c r="AN219" i="2"/>
  <c r="AQ219" i="2" s="1"/>
  <c r="AN107" i="2"/>
  <c r="AQ107" i="2" s="1"/>
  <c r="AN50" i="2"/>
  <c r="AQ50" i="2" s="1"/>
  <c r="AN140" i="2"/>
  <c r="AQ140" i="2" s="1"/>
  <c r="AN29" i="2"/>
  <c r="AQ29" i="2" s="1"/>
  <c r="AN43" i="2"/>
  <c r="AQ43" i="2" s="1"/>
  <c r="AN4" i="2"/>
  <c r="AQ4" i="2" s="1"/>
  <c r="AN160" i="2"/>
  <c r="AQ160" i="2" s="1"/>
  <c r="AN45" i="2"/>
  <c r="AQ45" i="2" s="1"/>
  <c r="AN91" i="2"/>
  <c r="AQ91" i="2" s="1"/>
  <c r="AN181" i="2"/>
  <c r="AQ181" i="2" s="1"/>
  <c r="AN73" i="2"/>
  <c r="AQ73" i="2" s="1"/>
  <c r="AN92" i="2"/>
  <c r="AQ92" i="2" s="1"/>
  <c r="AN67" i="2"/>
  <c r="AQ67" i="2" s="1"/>
  <c r="AN70" i="2"/>
  <c r="AQ70" i="2" s="1"/>
  <c r="AN213" i="2"/>
  <c r="AQ213" i="2" s="1"/>
  <c r="AN169" i="2"/>
  <c r="AQ169" i="2" s="1"/>
  <c r="AN75" i="2"/>
  <c r="AQ75" i="2" s="1"/>
  <c r="AN114" i="2"/>
  <c r="AQ114" i="2" s="1"/>
  <c r="AN5" i="2"/>
  <c r="AQ5" i="2" s="1"/>
  <c r="AN246" i="2"/>
  <c r="AQ246" i="2" s="1"/>
  <c r="AN180" i="2"/>
  <c r="AQ180" i="2" s="1"/>
  <c r="AN204" i="2"/>
  <c r="AQ204" i="2" s="1"/>
  <c r="AN66" i="2"/>
  <c r="AQ66" i="2" s="1"/>
  <c r="AN112" i="2"/>
  <c r="AQ112" i="2" s="1"/>
  <c r="AN220" i="2"/>
  <c r="AQ220" i="2" s="1"/>
  <c r="AN87" i="2"/>
  <c r="AQ87" i="2" s="1"/>
  <c r="AN233" i="2"/>
  <c r="AQ233" i="2" s="1"/>
  <c r="AN232" i="2"/>
  <c r="AQ232" i="2" s="1"/>
  <c r="AN115" i="2"/>
  <c r="AQ115" i="2" s="1"/>
  <c r="AN14" i="2"/>
  <c r="AQ14" i="2" s="1"/>
  <c r="AN7" i="2"/>
  <c r="AQ7" i="2" s="1"/>
  <c r="AN194" i="2"/>
  <c r="AQ194" i="2" s="1"/>
  <c r="AN158" i="2"/>
  <c r="AQ158" i="2" s="1"/>
  <c r="AN235" i="2"/>
  <c r="AQ235" i="2" s="1"/>
  <c r="AN178" i="2"/>
  <c r="AQ178" i="2" s="1"/>
  <c r="AN95" i="2"/>
  <c r="AQ95" i="2" s="1"/>
  <c r="AN133" i="2"/>
  <c r="AQ133" i="2" s="1"/>
  <c r="AN136" i="2"/>
  <c r="AQ136" i="2" s="1"/>
  <c r="AN93" i="2"/>
  <c r="AQ93" i="2" s="1"/>
  <c r="AN196" i="2"/>
  <c r="AQ196" i="2" s="1"/>
  <c r="AN186" i="2"/>
  <c r="AQ186" i="2" s="1"/>
  <c r="AN151" i="2"/>
  <c r="AQ151" i="2" s="1"/>
  <c r="AN130" i="2"/>
  <c r="AQ130" i="2" s="1"/>
  <c r="AN208" i="2"/>
  <c r="AQ208" i="2" s="1"/>
  <c r="AN226" i="2"/>
  <c r="AQ226" i="2" s="1"/>
  <c r="AN167" i="2"/>
  <c r="AQ167" i="2" s="1"/>
  <c r="AN72" i="2"/>
  <c r="AQ72" i="2" s="1"/>
  <c r="AN229" i="2"/>
  <c r="AQ229" i="2" s="1"/>
  <c r="AN12" i="2"/>
  <c r="AQ12" i="2" s="1"/>
  <c r="AN102" i="2"/>
  <c r="AQ102" i="2" s="1"/>
  <c r="AN195" i="2"/>
  <c r="AQ195" i="2" s="1"/>
  <c r="AN214" i="2"/>
  <c r="AQ214" i="2" s="1"/>
  <c r="AN197" i="2"/>
  <c r="AQ197" i="2" s="1"/>
  <c r="AN206" i="2"/>
  <c r="AQ206" i="2" s="1"/>
  <c r="AN8" i="2"/>
  <c r="AQ8" i="2" s="1"/>
  <c r="AN243" i="2"/>
  <c r="AQ243" i="2" s="1"/>
  <c r="AN106" i="2"/>
  <c r="AQ106" i="2" s="1"/>
  <c r="AN84" i="2"/>
  <c r="AQ84" i="2" s="1"/>
  <c r="AN54" i="2"/>
  <c r="AQ54" i="2" s="1"/>
  <c r="AN86" i="2"/>
  <c r="AQ86" i="2" s="1"/>
  <c r="AN118" i="2"/>
  <c r="AQ118" i="2" s="1"/>
  <c r="AN237" i="2"/>
  <c r="AQ237" i="2" s="1"/>
  <c r="AN205" i="2"/>
  <c r="AQ205" i="2" s="1"/>
  <c r="AN111" i="2"/>
  <c r="AQ111" i="2" s="1"/>
  <c r="AN22" i="2"/>
  <c r="AQ22" i="2" s="1"/>
  <c r="AN227" i="2"/>
  <c r="AQ227" i="2" s="1"/>
  <c r="AN173" i="2"/>
  <c r="AQ173" i="2" s="1"/>
  <c r="AN121" i="2"/>
  <c r="AQ121" i="2" s="1"/>
  <c r="AN193" i="2"/>
  <c r="AQ193" i="2" s="1"/>
  <c r="AN80" i="2"/>
  <c r="AQ80" i="2" s="1"/>
  <c r="AN154" i="2"/>
  <c r="AQ154" i="2" s="1"/>
  <c r="AN236" i="2"/>
  <c r="AQ236" i="2" s="1"/>
  <c r="AN175" i="2"/>
  <c r="AQ175" i="2" s="1"/>
  <c r="AN143" i="2"/>
  <c r="AQ143" i="2" s="1"/>
  <c r="AN162" i="2"/>
  <c r="AQ162" i="2" s="1"/>
  <c r="AN78" i="2"/>
  <c r="AQ78" i="2" s="1"/>
  <c r="AN199" i="2"/>
  <c r="AQ199" i="2" s="1"/>
  <c r="AN200" i="2"/>
  <c r="AQ200" i="2" s="1"/>
  <c r="AN217" i="2"/>
  <c r="AQ217" i="2" s="1"/>
  <c r="AN108" i="2"/>
  <c r="AQ108" i="2" s="1"/>
  <c r="AN52" i="2"/>
  <c r="AQ52" i="2" s="1"/>
  <c r="AN211" i="2"/>
  <c r="AQ211" i="2" s="1"/>
  <c r="AN218" i="2"/>
  <c r="AQ218" i="2" s="1"/>
  <c r="AN48" i="2"/>
  <c r="AQ48" i="2" s="1"/>
  <c r="AN62" i="2"/>
  <c r="AQ62" i="2" s="1"/>
  <c r="AN113" i="2"/>
  <c r="AQ113" i="2" s="1"/>
  <c r="AN64" i="2"/>
  <c r="AQ64" i="2" s="1"/>
  <c r="AN239" i="2"/>
  <c r="AQ239" i="2" s="1"/>
  <c r="AN59" i="2"/>
  <c r="AQ59" i="2" s="1"/>
  <c r="AO18" i="2" l="1"/>
  <c r="AO123" i="2"/>
  <c r="AO171" i="2"/>
  <c r="AO94" i="2"/>
  <c r="AO222" i="2"/>
  <c r="AO203" i="2"/>
  <c r="AO119" i="2"/>
  <c r="AO39" i="2"/>
  <c r="AO207" i="2"/>
  <c r="AO110" i="2"/>
  <c r="AO148" i="2"/>
  <c r="AO68" i="2"/>
  <c r="AO248" i="2"/>
  <c r="AO176" i="2"/>
  <c r="AO117" i="2"/>
  <c r="AO250" i="2"/>
  <c r="AO152" i="2"/>
  <c r="AO31" i="2"/>
  <c r="AO145" i="2"/>
  <c r="AO155" i="2"/>
  <c r="AO53" i="2"/>
  <c r="AO105" i="2"/>
  <c r="AO61" i="2"/>
  <c r="AO69" i="2"/>
  <c r="AO230" i="2"/>
  <c r="AO58" i="2"/>
  <c r="AO51" i="2"/>
  <c r="AO120" i="2"/>
  <c r="AO240" i="2"/>
  <c r="AO19" i="2"/>
  <c r="AO135" i="2"/>
  <c r="AO60" i="2"/>
  <c r="AO210" i="2"/>
  <c r="AO85" i="2"/>
  <c r="AO137" i="2"/>
  <c r="AO201" i="2"/>
  <c r="AO142" i="2"/>
  <c r="AO215" i="2"/>
  <c r="AO242" i="2"/>
  <c r="AO150" i="2"/>
  <c r="AO216" i="2"/>
  <c r="AO228" i="2"/>
  <c r="AO24" i="2"/>
  <c r="AO76" i="2"/>
  <c r="AO182" i="2"/>
  <c r="AO26" i="2"/>
  <c r="AO165" i="2"/>
  <c r="AO234" i="2"/>
  <c r="AO238" i="2"/>
  <c r="AO63" i="2"/>
  <c r="AO9" i="2"/>
  <c r="AO149" i="2"/>
  <c r="AO15" i="2"/>
  <c r="AO74" i="2"/>
  <c r="AO129" i="2"/>
  <c r="AO164" i="2"/>
  <c r="AO177" i="2"/>
  <c r="AO27" i="2"/>
  <c r="AO17" i="2"/>
  <c r="AO16" i="2"/>
  <c r="AO10" i="2"/>
  <c r="AO23" i="2"/>
  <c r="AO32" i="2"/>
  <c r="AO21" i="2"/>
  <c r="AO28" i="2"/>
  <c r="AO20" i="2"/>
  <c r="AO25" i="2"/>
  <c r="AO3" i="2"/>
  <c r="AO132" i="2"/>
  <c r="AO166" i="2"/>
  <c r="AO134" i="2"/>
  <c r="AO156" i="2"/>
  <c r="AO56" i="2"/>
  <c r="AO122" i="2"/>
  <c r="AO55" i="2"/>
  <c r="AO125" i="2"/>
  <c r="AO41" i="2"/>
  <c r="AO77" i="2"/>
  <c r="AO109" i="2"/>
  <c r="AO245" i="2"/>
  <c r="AO153" i="2"/>
  <c r="AO251" i="2"/>
  <c r="AO30" i="2"/>
  <c r="AO101" i="2"/>
  <c r="AO161" i="2"/>
  <c r="AO82" i="2"/>
  <c r="AO83" i="2"/>
  <c r="AO11" i="2"/>
  <c r="AO254" i="2"/>
  <c r="AO249" i="2"/>
  <c r="AO57" i="2"/>
  <c r="AO147" i="2"/>
  <c r="AO247" i="2"/>
  <c r="AO49" i="2"/>
  <c r="AO33" i="2"/>
  <c r="AO174" i="2"/>
  <c r="AO190" i="2"/>
  <c r="AO2" i="2"/>
  <c r="AO139" i="2"/>
  <c r="AO126" i="2"/>
  <c r="AO100" i="2"/>
  <c r="AO89" i="2"/>
  <c r="AO212" i="2"/>
  <c r="AO44" i="2"/>
  <c r="AO124" i="2"/>
  <c r="AO255" i="2"/>
  <c r="AO6" i="2"/>
  <c r="AO144" i="2"/>
  <c r="AO42" i="2"/>
  <c r="AO253" i="2"/>
  <c r="AO88" i="2"/>
  <c r="AO79" i="2"/>
  <c r="AO90" i="2"/>
  <c r="AO256" i="2"/>
  <c r="AO47" i="2"/>
  <c r="AO184" i="2"/>
  <c r="AO104" i="2"/>
  <c r="AO37" i="2"/>
  <c r="AO99" i="2"/>
  <c r="AO35" i="2"/>
  <c r="AO36" i="2"/>
  <c r="AO189" i="2"/>
  <c r="AO241" i="2"/>
  <c r="AO185" i="2"/>
  <c r="AO65" i="2"/>
  <c r="AO160" i="2"/>
  <c r="AO225" i="2"/>
  <c r="AO231" i="2"/>
  <c r="AO127" i="2"/>
  <c r="AO50" i="2"/>
  <c r="AO40" i="2"/>
  <c r="AO252" i="2"/>
  <c r="AO146" i="2"/>
  <c r="AO38" i="2"/>
  <c r="AO170" i="2"/>
  <c r="AO46" i="2"/>
  <c r="AO159" i="2"/>
  <c r="AO141" i="2"/>
  <c r="AO96" i="2"/>
  <c r="AO67" i="2"/>
  <c r="AO219" i="2"/>
  <c r="AO75" i="2"/>
  <c r="AO221" i="2"/>
  <c r="AO244" i="2"/>
  <c r="AO168" i="2"/>
  <c r="AO169" i="2"/>
  <c r="AO192" i="2"/>
  <c r="AO81" i="2"/>
  <c r="AO187" i="2"/>
  <c r="AO213" i="2"/>
  <c r="AO188" i="2"/>
  <c r="AO138" i="2"/>
  <c r="AO172" i="2"/>
  <c r="AO224" i="2"/>
  <c r="AO157" i="2"/>
  <c r="AO116" i="2"/>
  <c r="AO131" i="2"/>
  <c r="AO12" i="2"/>
  <c r="AO128" i="2"/>
  <c r="AO97" i="2"/>
  <c r="AO204" i="2"/>
  <c r="AO4" i="2"/>
  <c r="AO103" i="2"/>
  <c r="AO180" i="2"/>
  <c r="AO112" i="2"/>
  <c r="AO29" i="2"/>
  <c r="AO5" i="2"/>
  <c r="AO98" i="2"/>
  <c r="AO34" i="2"/>
  <c r="AO7" i="2"/>
  <c r="AO209" i="2"/>
  <c r="AO179" i="2"/>
  <c r="AO71" i="2"/>
  <c r="AO14" i="2"/>
  <c r="AO66" i="2"/>
  <c r="AO114" i="2"/>
  <c r="AO45" i="2"/>
  <c r="AO13" i="2"/>
  <c r="AO8" i="2"/>
  <c r="AO183" i="2"/>
  <c r="AO115" i="2"/>
  <c r="AO202" i="2"/>
  <c r="AO43" i="2"/>
  <c r="AO140" i="2"/>
  <c r="AO107" i="2"/>
  <c r="AO232" i="2"/>
  <c r="AO92" i="2"/>
  <c r="AO22" i="2"/>
  <c r="AO70" i="2"/>
  <c r="AO191" i="2"/>
  <c r="AO198" i="2"/>
  <c r="AO87" i="2"/>
  <c r="AO181" i="2"/>
  <c r="AO163" i="2"/>
  <c r="AO257" i="2"/>
  <c r="AO220" i="2"/>
  <c r="AO91" i="2"/>
  <c r="AO223" i="2"/>
  <c r="AO233" i="2"/>
  <c r="AO73" i="2"/>
  <c r="AO246" i="2"/>
  <c r="AO80" i="2"/>
  <c r="AO113" i="2"/>
  <c r="AO237" i="2"/>
  <c r="AO143" i="2"/>
  <c r="AO62" i="2"/>
  <c r="AO197" i="2"/>
  <c r="AO195" i="2"/>
  <c r="AO229" i="2"/>
  <c r="AO226" i="2"/>
  <c r="AO151" i="2"/>
  <c r="AO205" i="2"/>
  <c r="AO118" i="2"/>
  <c r="AO208" i="2"/>
  <c r="AO186" i="2"/>
  <c r="AO86" i="2"/>
  <c r="AO108" i="2"/>
  <c r="AO175" i="2"/>
  <c r="AO173" i="2"/>
  <c r="AO54" i="2"/>
  <c r="AO130" i="2"/>
  <c r="AO95" i="2"/>
  <c r="AO154" i="2"/>
  <c r="AO48" i="2"/>
  <c r="AO106" i="2"/>
  <c r="AO167" i="2"/>
  <c r="AO121" i="2"/>
  <c r="AO193" i="2"/>
  <c r="AO243" i="2"/>
  <c r="AO72" i="2"/>
  <c r="AO133" i="2"/>
  <c r="AO214" i="2"/>
  <c r="AO218" i="2"/>
  <c r="AO217" i="2"/>
  <c r="AO59" i="2"/>
  <c r="AO199" i="2"/>
  <c r="AO236" i="2"/>
  <c r="AO196" i="2"/>
  <c r="AO136" i="2"/>
  <c r="AO162" i="2"/>
  <c r="AO93" i="2"/>
  <c r="AO52" i="2"/>
  <c r="AO78" i="2"/>
  <c r="AO111" i="2"/>
  <c r="AO206" i="2"/>
  <c r="AO235" i="2"/>
  <c r="AO200" i="2"/>
  <c r="AO239" i="2"/>
  <c r="AO211" i="2"/>
  <c r="AO84" i="2"/>
  <c r="AO178" i="2"/>
  <c r="AO158" i="2"/>
  <c r="AO102" i="2"/>
  <c r="AO227" i="2"/>
  <c r="AO64" i="2"/>
  <c r="AO194" i="2"/>
  <c r="AQ258" i="2" l="1"/>
  <c r="B13" i="1" s="1"/>
  <c r="B16" i="1" s="1"/>
  <c r="AO258" i="2"/>
  <c r="AP3" i="2" l="1"/>
  <c r="AP2" i="2"/>
  <c r="AP135" i="2"/>
  <c r="AP17" i="2"/>
  <c r="AP29" i="2"/>
  <c r="AP13" i="2"/>
  <c r="AP10" i="2"/>
  <c r="AP31" i="2"/>
  <c r="AP5" i="2"/>
  <c r="AP12" i="2"/>
  <c r="AP15" i="2"/>
  <c r="AP226" i="2"/>
  <c r="AP62" i="2"/>
  <c r="AP78" i="2"/>
  <c r="AP59" i="2"/>
  <c r="AP218" i="2"/>
  <c r="AP173" i="2"/>
  <c r="AP175" i="2"/>
  <c r="AP84" i="2"/>
  <c r="AP23" i="2"/>
  <c r="AP32" i="2"/>
  <c r="AP93" i="2"/>
  <c r="AP7" i="2"/>
  <c r="AP24" i="2"/>
  <c r="AP243" i="2"/>
  <c r="AP33" i="2"/>
  <c r="AP86" i="2"/>
  <c r="AP21" i="2"/>
  <c r="AP20" i="2"/>
  <c r="AP72" i="2"/>
  <c r="AP16" i="2"/>
  <c r="AP6" i="2"/>
  <c r="AP28" i="2"/>
  <c r="AP4" i="2"/>
  <c r="AP193" i="2"/>
  <c r="AP14" i="2"/>
  <c r="AP27" i="2"/>
  <c r="AP109" i="2"/>
  <c r="AP151" i="2"/>
  <c r="AP196" i="2"/>
  <c r="AP234" i="2"/>
  <c r="AP19" i="2"/>
  <c r="AP236" i="2"/>
  <c r="AP108" i="2"/>
  <c r="AP209" i="2"/>
  <c r="AP237" i="2"/>
  <c r="AP130" i="2"/>
  <c r="AP254" i="2"/>
  <c r="AP9" i="2"/>
  <c r="AP200" i="2"/>
  <c r="AP11" i="2"/>
  <c r="AP186" i="2"/>
  <c r="AP246" i="2"/>
  <c r="AP30" i="2"/>
  <c r="AP113" i="2"/>
  <c r="AP25" i="2"/>
  <c r="AP214" i="2"/>
  <c r="AP46" i="2"/>
  <c r="AP18" i="2"/>
  <c r="AP195" i="2"/>
  <c r="AP127" i="2"/>
  <c r="AP235" i="2"/>
  <c r="AP162" i="2"/>
  <c r="AP77" i="2"/>
  <c r="AP52" i="2"/>
  <c r="AP118" i="2"/>
  <c r="AP87" i="2"/>
  <c r="AP8" i="2"/>
  <c r="AP22" i="2"/>
  <c r="AP158" i="2"/>
  <c r="AP121" i="2"/>
  <c r="AP222" i="2"/>
  <c r="AP26" i="2"/>
  <c r="AP239" i="2"/>
  <c r="AP54" i="2"/>
  <c r="AP64" i="2"/>
  <c r="AP184" i="2"/>
  <c r="AP197" i="2"/>
  <c r="AP95" i="2"/>
  <c r="AP91" i="2"/>
  <c r="AP102" i="2"/>
  <c r="AP48" i="2"/>
  <c r="AP133" i="2"/>
  <c r="AP178" i="2"/>
  <c r="AP66" i="2"/>
  <c r="AP111" i="2"/>
  <c r="AP211" i="2"/>
  <c r="AP49" i="2"/>
  <c r="AP210" i="2"/>
  <c r="AP80" i="2"/>
  <c r="AP75" i="2"/>
  <c r="AP114" i="2"/>
  <c r="AP164" i="2"/>
  <c r="AP143" i="2"/>
  <c r="AP136" i="2"/>
  <c r="AP156" i="2"/>
  <c r="AP241" i="2"/>
  <c r="AP199" i="2"/>
  <c r="AP208" i="2"/>
  <c r="AP154" i="2"/>
  <c r="AP137" i="2"/>
  <c r="AP40" i="2"/>
  <c r="AP35" i="2"/>
  <c r="AP229" i="2"/>
  <c r="AP167" i="2"/>
  <c r="AP207" i="2"/>
  <c r="AP144" i="2"/>
  <c r="AP194" i="2"/>
  <c r="AP204" i="2"/>
  <c r="AP217" i="2"/>
  <c r="AP171" i="2"/>
  <c r="AP238" i="2"/>
  <c r="AP106" i="2"/>
  <c r="AP206" i="2"/>
  <c r="AP227" i="2"/>
  <c r="AP98" i="2"/>
  <c r="AP205" i="2"/>
  <c r="AP68" i="2"/>
  <c r="AP100" i="2"/>
  <c r="AP257" i="2"/>
  <c r="AP65" i="2"/>
  <c r="AP183" i="2"/>
  <c r="AP250" i="2"/>
  <c r="AP198" i="2"/>
  <c r="AP139" i="2"/>
  <c r="AP160" i="2"/>
  <c r="AP140" i="2"/>
  <c r="AP126" i="2"/>
  <c r="AP107" i="2"/>
  <c r="AP67" i="2"/>
  <c r="AP169" i="2"/>
  <c r="AP92" i="2"/>
  <c r="AP47" i="2"/>
  <c r="AP138" i="2"/>
  <c r="AP249" i="2"/>
  <c r="AP94" i="2"/>
  <c r="AP123" i="2"/>
  <c r="AP101" i="2"/>
  <c r="AP45" i="2"/>
  <c r="AP245" i="2"/>
  <c r="AP202" i="2"/>
  <c r="AP181" i="2"/>
  <c r="AP116" i="2"/>
  <c r="AP221" i="2"/>
  <c r="AP110" i="2"/>
  <c r="AP129" i="2"/>
  <c r="AP73" i="2"/>
  <c r="AP247" i="2"/>
  <c r="AP182" i="2"/>
  <c r="AP63" i="2"/>
  <c r="AP128" i="2"/>
  <c r="AP146" i="2"/>
  <c r="AP203" i="2"/>
  <c r="AP155" i="2"/>
  <c r="AP187" i="2"/>
  <c r="AP51" i="2"/>
  <c r="AP220" i="2"/>
  <c r="AP104" i="2"/>
  <c r="AP177" i="2"/>
  <c r="AP56" i="2"/>
  <c r="AP131" i="2"/>
  <c r="AP60" i="2"/>
  <c r="AP42" i="2"/>
  <c r="AP159" i="2"/>
  <c r="AP253" i="2"/>
  <c r="AP228" i="2"/>
  <c r="AP161" i="2"/>
  <c r="AP122" i="2"/>
  <c r="AP212" i="2"/>
  <c r="AP103" i="2"/>
  <c r="AP180" i="2"/>
  <c r="AP44" i="2"/>
  <c r="AP112" i="2"/>
  <c r="AP105" i="2"/>
  <c r="AP145" i="2"/>
  <c r="AP124" i="2"/>
  <c r="AP153" i="2"/>
  <c r="AP148" i="2"/>
  <c r="AP89" i="2"/>
  <c r="AP99" i="2"/>
  <c r="AP34" i="2"/>
  <c r="AP61" i="2"/>
  <c r="AP189" i="2"/>
  <c r="AP125" i="2"/>
  <c r="AP74" i="2"/>
  <c r="AP233" i="2"/>
  <c r="AP251" i="2"/>
  <c r="AP172" i="2"/>
  <c r="AP117" i="2"/>
  <c r="AP256" i="2"/>
  <c r="AP38" i="2"/>
  <c r="AP142" i="2"/>
  <c r="AP115" i="2"/>
  <c r="AP213" i="2"/>
  <c r="AP215" i="2"/>
  <c r="AP163" i="2"/>
  <c r="AP224" i="2"/>
  <c r="AP147" i="2"/>
  <c r="AP201" i="2"/>
  <c r="AP191" i="2"/>
  <c r="AP240" i="2"/>
  <c r="AP37" i="2"/>
  <c r="AP216" i="2"/>
  <c r="AP97" i="2"/>
  <c r="AP168" i="2"/>
  <c r="AP223" i="2"/>
  <c r="AP244" i="2"/>
  <c r="AP134" i="2"/>
  <c r="AP152" i="2"/>
  <c r="AP57" i="2"/>
  <c r="AP58" i="2"/>
  <c r="AP165" i="2"/>
  <c r="AP188" i="2"/>
  <c r="AP55" i="2"/>
  <c r="AP231" i="2"/>
  <c r="AP85" i="2"/>
  <c r="AP219" i="2"/>
  <c r="AP132" i="2"/>
  <c r="AP157" i="2"/>
  <c r="AP185" i="2"/>
  <c r="AP174" i="2"/>
  <c r="AP119" i="2"/>
  <c r="AP53" i="2"/>
  <c r="AP150" i="2"/>
  <c r="AP192" i="2"/>
  <c r="AP81" i="2"/>
  <c r="AP70" i="2"/>
  <c r="AP69" i="2"/>
  <c r="AP149" i="2"/>
  <c r="AP190" i="2"/>
  <c r="AP76" i="2"/>
  <c r="AP41" i="2"/>
  <c r="AP36" i="2"/>
  <c r="AP225" i="2"/>
  <c r="AP179" i="2"/>
  <c r="AP176" i="2"/>
  <c r="AP141" i="2"/>
  <c r="AP79" i="2"/>
  <c r="AP83" i="2"/>
  <c r="AP232" i="2"/>
  <c r="AP50" i="2"/>
  <c r="AP166" i="2"/>
  <c r="AP82" i="2"/>
  <c r="AP43" i="2"/>
  <c r="AP88" i="2"/>
  <c r="AP120" i="2"/>
  <c r="AP71" i="2"/>
  <c r="AP230" i="2"/>
  <c r="AP90" i="2"/>
  <c r="AP96" i="2"/>
  <c r="AP242" i="2"/>
  <c r="AP170" i="2"/>
  <c r="AP255" i="2"/>
  <c r="AP252" i="2"/>
  <c r="AP248" i="2"/>
  <c r="AP39" i="2"/>
  <c r="AP258" i="2" l="1"/>
  <c r="AP25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<sst xmlns="http://schemas.openxmlformats.org/spreadsheetml/2006/main" count="64" uniqueCount="64">
  <si>
    <t>Current Price</t>
  </si>
  <si>
    <t>Ticker</t>
  </si>
  <si>
    <t>FRG</t>
  </si>
  <si>
    <t>ATKR</t>
  </si>
  <si>
    <t>VTOL</t>
  </si>
  <si>
    <t>LILAK</t>
  </si>
  <si>
    <t>WBD</t>
  </si>
  <si>
    <t>NXST</t>
  </si>
  <si>
    <t>HROW</t>
  </si>
  <si>
    <t>P</t>
  </si>
  <si>
    <t>P*G</t>
  </si>
  <si>
    <t>P(G-Ghat)2</t>
  </si>
  <si>
    <t>net gain</t>
  </si>
  <si>
    <t>(1+f*G)^P</t>
  </si>
  <si>
    <t>Pfrg</t>
  </si>
  <si>
    <t>Patkr</t>
  </si>
  <si>
    <t>Pvtol</t>
  </si>
  <si>
    <t>Plilak</t>
  </si>
  <si>
    <t>Pwbd</t>
  </si>
  <si>
    <t>PHIG</t>
  </si>
  <si>
    <t>Pnxst</t>
  </si>
  <si>
    <t>Phrow</t>
  </si>
  <si>
    <t>Pphig</t>
  </si>
  <si>
    <t>Downside (2-yr)</t>
  </si>
  <si>
    <r>
      <rPr>
        <b/>
        <sz val="10"/>
        <color theme="1"/>
        <rFont val="Arial"/>
        <family val="2"/>
      </rPr>
      <t xml:space="preserve">b </t>
    </r>
    <r>
      <rPr>
        <sz val="10"/>
        <color theme="1"/>
        <rFont val="Arial"/>
        <family val="2"/>
      </rPr>
      <t xml:space="preserve">
gain</t>
    </r>
  </si>
  <si>
    <r>
      <rPr>
        <b/>
        <sz val="10"/>
        <color theme="1"/>
        <rFont val="Arial"/>
        <family val="2"/>
      </rPr>
      <t>a</t>
    </r>
    <r>
      <rPr>
        <sz val="10"/>
        <color theme="1"/>
        <rFont val="Arial"/>
        <family val="2"/>
      </rPr>
      <t xml:space="preserve">
loss</t>
    </r>
  </si>
  <si>
    <r>
      <rPr>
        <b/>
        <sz val="10"/>
        <color theme="1"/>
        <rFont val="Arial"/>
        <family val="2"/>
      </rPr>
      <t xml:space="preserve">p </t>
    </r>
    <r>
      <rPr>
        <sz val="10"/>
        <color theme="1"/>
        <rFont val="Arial"/>
        <family val="2"/>
      </rPr>
      <t xml:space="preserve">
</t>
    </r>
    <r>
      <rPr>
        <sz val="10"/>
        <color theme="1"/>
        <rFont val="Arial"/>
        <family val="2"/>
      </rPr>
      <t>Upside probabilty</t>
    </r>
  </si>
  <si>
    <t>= automatically updated</t>
  </si>
  <si>
    <t>= input</t>
  </si>
  <si>
    <t>= calculated</t>
  </si>
  <si>
    <r>
      <t xml:space="preserve">Wi, 
</t>
    </r>
    <r>
      <rPr>
        <sz val="10"/>
        <color theme="1"/>
        <rFont val="Arial"/>
        <family val="2"/>
      </rPr>
      <t>Portfolio weight</t>
    </r>
  </si>
  <si>
    <t>Bfrg</t>
  </si>
  <si>
    <t>Batkr</t>
  </si>
  <si>
    <t>Bvtol</t>
  </si>
  <si>
    <t>Blilak</t>
  </si>
  <si>
    <t>Bwbd</t>
  </si>
  <si>
    <t>Bnxst</t>
  </si>
  <si>
    <t>Bhrow</t>
  </si>
  <si>
    <t>Bphig</t>
  </si>
  <si>
    <t>Gain B</t>
  </si>
  <si>
    <r>
      <rPr>
        <b/>
        <sz val="10"/>
        <color theme="1"/>
        <rFont val="Arial"/>
        <family val="2"/>
      </rPr>
      <t>q =p-1</t>
    </r>
    <r>
      <rPr>
        <sz val="10"/>
        <color theme="1"/>
        <rFont val="Arial"/>
        <family val="2"/>
      </rPr>
      <t xml:space="preserve">
</t>
    </r>
    <r>
      <rPr>
        <sz val="10"/>
        <color theme="1"/>
        <rFont val="Arial"/>
        <family val="2"/>
      </rPr>
      <t>Downside probability</t>
    </r>
  </si>
  <si>
    <t>Afrg</t>
  </si>
  <si>
    <t>Aatkr</t>
  </si>
  <si>
    <t>Avtol</t>
  </si>
  <si>
    <t>Alilak</t>
  </si>
  <si>
    <t>Awbd</t>
  </si>
  <si>
    <t>Anxst</t>
  </si>
  <si>
    <t>Ahrow</t>
  </si>
  <si>
    <t>Aphig</t>
  </si>
  <si>
    <t>Loss A</t>
  </si>
  <si>
    <t>f, bankroll fraction</t>
  </si>
  <si>
    <t>years to price target</t>
  </si>
  <si>
    <t>P*A</t>
  </si>
  <si>
    <t>f, max leverage</t>
  </si>
  <si>
    <t>Analytically calculated growth, f=f*
E(g)</t>
  </si>
  <si>
    <r>
      <rPr>
        <b/>
        <sz val="10"/>
        <color theme="1"/>
        <rFont val="Arial"/>
        <family val="2"/>
      </rPr>
      <t>Analytical f*, 
for a single position</t>
    </r>
    <r>
      <rPr>
        <sz val="10"/>
        <color theme="1"/>
        <rFont val="Arial"/>
        <family val="2"/>
      </rPr>
      <t xml:space="preserve"> 
[% to invest]</t>
    </r>
  </si>
  <si>
    <t>Analytically calculated growth, f=100%
E(g)</t>
  </si>
  <si>
    <r>
      <t xml:space="preserve">= calculated using the </t>
    </r>
    <r>
      <rPr>
        <b/>
        <sz val="10"/>
        <color theme="1"/>
        <rFont val="Arial"/>
        <family val="2"/>
      </rPr>
      <t>Optimize</t>
    </r>
    <r>
      <rPr>
        <sz val="10"/>
        <color theme="1"/>
        <rFont val="Arial"/>
        <family val="2"/>
      </rPr>
      <t xml:space="preserve"> button or set manually </t>
    </r>
  </si>
  <si>
    <t>= for info</t>
  </si>
  <si>
    <t>Wmax, max postion size</t>
  </si>
  <si>
    <t>Expected growth, E(g)</t>
  </si>
  <si>
    <t>Objective Weighting factor, K</t>
  </si>
  <si>
    <t>Expected gross losses, L</t>
  </si>
  <si>
    <r>
      <t>Objective, =E(g)-K*L-0.1*</t>
    </r>
    <r>
      <rPr>
        <b/>
        <sz val="10"/>
        <color theme="1"/>
        <rFont val="Symbol"/>
        <family val="1"/>
        <charset val="2"/>
      </rPr>
      <t>s</t>
    </r>
    <r>
      <rPr>
        <b/>
        <vertAlign val="subscript"/>
        <sz val="10"/>
        <color theme="1"/>
        <rFont val="Arial"/>
        <family val="2"/>
      </rPr>
      <t>w</t>
    </r>
    <r>
      <rPr>
        <b/>
        <sz val="10"/>
        <color theme="1"/>
        <rFont val="Arial"/>
        <family val="2"/>
      </rPr>
      <t>/</t>
    </r>
    <r>
      <rPr>
        <b/>
        <sz val="10"/>
        <color theme="1"/>
        <rFont val="Symbol"/>
        <family val="1"/>
        <charset val="2"/>
      </rPr>
      <t>m</t>
    </r>
    <r>
      <rPr>
        <b/>
        <vertAlign val="subscript"/>
        <sz val="10"/>
        <color theme="1"/>
        <rFont val="Arial"/>
        <family val="2"/>
      </rPr>
      <t>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</si>
</sst>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
    <numFmt numFmtId="166" formatCode="_([$$-409]* #,##0.00_);_([$$-409]* \(#,##0.00\);_([$$-409]* &quot;-&quot;??_);_(@_)"/>
    <numFmt numFmtId="167" formatCode="_-[$$-409]* #,##0.00_ ;_-[$$-409]* \-#,##0.00\ ;_-[$$-409]* &quot;-&quot;??_ ;_-@_ "/>
    <numFmt numFmtId="168" formatCode="0.0000000000000000%"/>
    <numFmt numFmtId="169" formatCode="0.000"/>
    <numFmt numFmtId="170" formatCode="0.00000000000000"/>
  </numFmts>
  <fonts count="6" x14ac:knownFonts="1">
    <font>
      <sz val="10"/>
      <color theme="1"/>
      <name val="Arial"/>
      <family val="2"/>
    </font>
    <font>
      <b/>
      <sz val="10"/>
      <color theme="1"/>
      <name val="Arial"/>
      <family val="2"/>
    </font>
    <font>
      <b/>
      <sz val="12"/>
      <color rgb="FF000000"/>
      <name val="Arial"/>
      <family val="2"/>
    </font>
    <font>
      <b/>
      <sz val="12"/>
      <color theme="1"/>
      <name val="Arial"/>
      <family val="2"/>
    </font>
    <font>
      <b/>
      <sz val="10"/>
      <color theme="1"/>
      <name val="Symbol"/>
      <family val="1"/>
      <charset val="2"/>
    </font>
    <font>
      <b/>
      <vertAlign val="subscript"/>
      <sz val="10"/>
      <color theme="1"/>
      <name val="Arial"/>
      <family val="2"/>
    </font>
  </fonts>
  <fills count="7">
    <fill>
      <patternFill patternType="none"/>
    </fill>
    <fill>
      <patternFill patternType="gray125"/>
    </fill>
    <fill>
      <patternFill patternType="solid">
        <fgColor rgb="FFFFC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2" fontId="0" fillId="0" borderId="0" xfId="0" applyNumberFormat="1"/>
    <xf numFmtId="9" fontId="0" fillId="0" borderId="0" xfId="0" applyNumberFormat="1"/>
    <xf numFmtId="164" fontId="0" fillId="0" borderId="0" xfId="0" applyNumberFormat="1"/>
    <xf numFmtId="0" fontId="0" fillId="0" borderId="0" xfId="0" applyAlignment="1">
      <alignment horizontal="left"/>
    </xf>
    <xf numFmtId="0" fontId="1" fillId="0" borderId="0" xfId="0" applyFont="1" applyAlignment="1">
      <alignment horizontal="left" wrapText="1"/>
    </xf>
    <xf numFmtId="0" fontId="0" fillId="0" borderId="0" xfId="0" applyAlignment="1">
      <alignment horizontal="left" wrapText="1"/>
    </xf>
    <xf numFmtId="0" fontId="1" fillId="0" borderId="0" xfId="0" applyFont="1"/>
    <xf numFmtId="2" fontId="1" fillId="0" borderId="0" xfId="0" applyNumberFormat="1" applyFont="1"/>
    <xf numFmtId="166" fontId="0" fillId="0" borderId="0" xfId="0" applyNumberFormat="1"/>
    <xf numFmtId="166" fontId="0" fillId="2" borderId="1" xfId="0" applyNumberFormat="1" applyFill="1" applyBorder="1"/>
    <xf numFmtId="1" fontId="0" fillId="3" borderId="1" xfId="0" applyNumberFormat="1" applyFill="1" applyBorder="1"/>
    <xf numFmtId="165" fontId="0" fillId="3" borderId="1" xfId="0" applyNumberFormat="1" applyFill="1" applyBorder="1"/>
    <xf numFmtId="0" fontId="0" fillId="3" borderId="1" xfId="0" applyFill="1" applyBorder="1"/>
    <xf numFmtId="9" fontId="0" fillId="4" borderId="1" xfId="0" applyNumberFormat="1" applyFill="1" applyBorder="1"/>
    <xf numFmtId="0" fontId="0" fillId="0" borderId="0" xfId="0" applyFont="1" applyAlignment="1">
      <alignment horizontal="left"/>
    </xf>
    <xf numFmtId="0" fontId="0" fillId="0" borderId="0" xfId="0" applyFont="1" applyAlignment="1">
      <alignment horizontal="left" wrapText="1"/>
    </xf>
    <xf numFmtId="0" fontId="0" fillId="2" borderId="1" xfId="0" applyFill="1" applyBorder="1"/>
    <xf numFmtId="0" fontId="0" fillId="4" borderId="1" xfId="0" applyFill="1" applyBorder="1"/>
    <xf numFmtId="0" fontId="0" fillId="0" borderId="0" xfId="0" quotePrefix="1"/>
    <xf numFmtId="0" fontId="0" fillId="5" borderId="1" xfId="0" applyFill="1" applyBorder="1"/>
    <xf numFmtId="9" fontId="0" fillId="3" borderId="1" xfId="0" applyNumberFormat="1" applyFill="1" applyBorder="1"/>
    <xf numFmtId="164" fontId="1" fillId="4" borderId="1" xfId="0" applyNumberFormat="1" applyFont="1" applyFill="1" applyBorder="1"/>
    <xf numFmtId="167" fontId="0" fillId="0" borderId="0" xfId="0" applyNumberFormat="1"/>
    <xf numFmtId="168" fontId="0" fillId="0" borderId="0" xfId="0" applyNumberFormat="1"/>
    <xf numFmtId="9" fontId="1" fillId="4" borderId="1" xfId="0" applyNumberFormat="1" applyFont="1" applyFill="1" applyBorder="1"/>
    <xf numFmtId="170" fontId="0" fillId="0" borderId="0" xfId="0" applyNumberFormat="1"/>
    <xf numFmtId="169" fontId="0" fillId="6" borderId="1" xfId="0" applyNumberFormat="1" applyFill="1" applyBorder="1"/>
    <xf numFmtId="9" fontId="0" fillId="6" borderId="1" xfId="0" applyNumberFormat="1" applyFill="1" applyBorder="1"/>
    <xf numFmtId="0" fontId="0" fillId="6" borderId="1" xfId="0" applyFill="1" applyBorder="1"/>
    <xf numFmtId="0" fontId="0" fillId="0" borderId="0" xfId="0" quotePrefix="1" applyFill="1" applyBorder="1"/>
    <xf numFmtId="164" fontId="0" fillId="3" borderId="1" xfId="0" applyNumberFormat="1" applyFill="1" applyBorder="1"/>
    <xf numFmtId="9" fontId="3" fillId="5" borderId="1" xfId="0" applyNumberFormat="1" applyFont="1" applyFill="1" applyBorder="1"/>
    <xf numFmtId="2" fontId="0" fillId="3" borderId="1" xfId="0" applyNumberForma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upside</a:t>
            </a:r>
            <a:r>
              <a:rPr lang="fr-CA" baseline="0"/>
              <a:t> vs downside</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11"/>
            <c:spPr>
              <a:solidFill>
                <a:schemeClr val="accent1"/>
              </a:solidFill>
              <a:ln w="9525">
                <a:solidFill>
                  <a:schemeClr val="tx1"/>
                </a:solidFill>
              </a:ln>
              <a:effectLst/>
            </c:spPr>
          </c:marker>
          <c:xVal>
            <c:numRef>
              <c:f>Inputs!$H$2:$H$9</c:f>
              <c:numCache>
                <c:formatCode>0%</c:formatCode>
                <c:ptCount val="8"/>
                <c:pt idx="0">
                  <c:v>0.17695473251028815</c:v>
                </c:pt>
                <c:pt idx="1">
                  <c:v>0.1001124859392577</c:v>
                </c:pt>
                <c:pt idx="2">
                  <c:v>0.10422049956933677</c:v>
                </c:pt>
                <c:pt idx="3">
                  <c:v>0.28977272727272729</c:v>
                </c:pt>
                <c:pt idx="4">
                  <c:v>0.47169811320754718</c:v>
                </c:pt>
                <c:pt idx="5">
                  <c:v>0.11907969737796653</c:v>
                </c:pt>
                <c:pt idx="6">
                  <c:v>0.3434802113993719</c:v>
                </c:pt>
                <c:pt idx="7">
                  <c:v>0.13725490196078427</c:v>
                </c:pt>
              </c:numCache>
            </c:numRef>
          </c:xVal>
          <c:yVal>
            <c:numRef>
              <c:f>Inputs!$G$2:$G$9</c:f>
              <c:numCache>
                <c:formatCode>0%</c:formatCode>
                <c:ptCount val="8"/>
                <c:pt idx="0">
                  <c:v>3.1152263374485596</c:v>
                </c:pt>
                <c:pt idx="1">
                  <c:v>1.8121484814398197</c:v>
                </c:pt>
                <c:pt idx="2">
                  <c:v>1.6528854435831182</c:v>
                </c:pt>
                <c:pt idx="3">
                  <c:v>1.9829545454545454</c:v>
                </c:pt>
                <c:pt idx="4">
                  <c:v>2.7735849056603774</c:v>
                </c:pt>
                <c:pt idx="5">
                  <c:v>1.5909420665353924</c:v>
                </c:pt>
                <c:pt idx="6">
                  <c:v>4.4709982383385674</c:v>
                </c:pt>
                <c:pt idx="7">
                  <c:v>1.7450980392156863</c:v>
                </c:pt>
              </c:numCache>
            </c:numRef>
          </c:yVal>
          <c:smooth val="0"/>
          <c:extLst>
            <c:ext xmlns:c16="http://schemas.microsoft.com/office/drawing/2014/chart" uri="{C3380CC4-5D6E-409C-BE32-E72D297353CC}">
              <c16:uniqueId val="{00000000-8E5D-4AC5-80BC-9B90553472A6}"/>
            </c:ext>
          </c:extLst>
        </c:ser>
        <c:dLbls>
          <c:showLegendKey val="0"/>
          <c:showVal val="0"/>
          <c:showCatName val="0"/>
          <c:showSerName val="0"/>
          <c:showPercent val="0"/>
          <c:showBubbleSize val="0"/>
        </c:dLbls>
        <c:axId val="1184686824"/>
        <c:axId val="1184688136"/>
      </c:scatterChart>
      <c:valAx>
        <c:axId val="118468682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8136"/>
        <c:crosses val="autoZero"/>
        <c:crossBetween val="midCat"/>
      </c:valAx>
      <c:valAx>
        <c:axId val="1184688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6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backend!$AN$1</c:f>
              <c:strCache>
                <c:ptCount val="1"/>
                <c:pt idx="0">
                  <c:v>net gain</c:v>
                </c:pt>
              </c:strCache>
            </c:strRef>
          </c:tx>
          <c:spPr>
            <a:ln w="28575" cap="rnd">
              <a:noFill/>
              <a:round/>
            </a:ln>
            <a:effectLst/>
          </c:spPr>
          <c:marker>
            <c:symbol val="circle"/>
            <c:size val="5"/>
            <c:spPr>
              <a:solidFill>
                <a:schemeClr val="accent1"/>
              </a:solidFill>
              <a:ln w="9525">
                <a:solidFill>
                  <a:schemeClr val="accent1"/>
                </a:solidFill>
              </a:ln>
              <a:effectLst/>
            </c:spPr>
          </c:marker>
          <c:xVal>
            <c:numRef>
              <c:f>backend!$AN$2:$AN$262</c:f>
              <c:numCache>
                <c:formatCode>0.00</c:formatCode>
                <c:ptCount val="261"/>
                <c:pt idx="0">
                  <c:v>2.5860640779808097</c:v>
                </c:pt>
                <c:pt idx="1">
                  <c:v>2.1454517809456193</c:v>
                </c:pt>
                <c:pt idx="2">
                  <c:v>2.3505147447694954</c:v>
                </c:pt>
                <c:pt idx="3">
                  <c:v>1.909902447734305</c:v>
                </c:pt>
                <c:pt idx="4">
                  <c:v>2.4348697499600149</c:v>
                </c:pt>
                <c:pt idx="5">
                  <c:v>1.9942574529248245</c:v>
                </c:pt>
                <c:pt idx="6">
                  <c:v>2.1993204167487006</c:v>
                </c:pt>
                <c:pt idx="7">
                  <c:v>1.7587081197135104</c:v>
                </c:pt>
                <c:pt idx="8">
                  <c:v>2.3682005428439092</c:v>
                </c:pt>
                <c:pt idx="9">
                  <c:v>1.9275882458087186</c:v>
                </c:pt>
                <c:pt idx="10">
                  <c:v>2.1326512096325949</c:v>
                </c:pt>
                <c:pt idx="11">
                  <c:v>1.6920389125974045</c:v>
                </c:pt>
                <c:pt idx="12">
                  <c:v>2.217006214823114</c:v>
                </c:pt>
                <c:pt idx="13">
                  <c:v>1.7763939177879238</c:v>
                </c:pt>
                <c:pt idx="14">
                  <c:v>1.9814568816118001</c:v>
                </c:pt>
                <c:pt idx="15">
                  <c:v>1.5408445845766094</c:v>
                </c:pt>
                <c:pt idx="16">
                  <c:v>2.0263932960878059</c:v>
                </c:pt>
                <c:pt idx="17">
                  <c:v>1.5857809990526153</c:v>
                </c:pt>
                <c:pt idx="18">
                  <c:v>1.7908439628764916</c:v>
                </c:pt>
                <c:pt idx="19">
                  <c:v>1.3502316658413012</c:v>
                </c:pt>
                <c:pt idx="20">
                  <c:v>1.8751989680670107</c:v>
                </c:pt>
                <c:pt idx="21">
                  <c:v>1.4345866710318202</c:v>
                </c:pt>
                <c:pt idx="22">
                  <c:v>1.6396496348556966</c:v>
                </c:pt>
                <c:pt idx="23">
                  <c:v>1.1990373378205059</c:v>
                </c:pt>
                <c:pt idx="24">
                  <c:v>1.8085297609509052</c:v>
                </c:pt>
                <c:pt idx="25">
                  <c:v>1.3679174639157143</c:v>
                </c:pt>
                <c:pt idx="26">
                  <c:v>1.5729804277395909</c:v>
                </c:pt>
                <c:pt idx="27">
                  <c:v>1.1323681307044</c:v>
                </c:pt>
                <c:pt idx="28">
                  <c:v>1.6573354329301102</c:v>
                </c:pt>
                <c:pt idx="29">
                  <c:v>1.2167231358949195</c:v>
                </c:pt>
                <c:pt idx="30">
                  <c:v>1.4217860997187961</c:v>
                </c:pt>
                <c:pt idx="31">
                  <c:v>0.98117380268360543</c:v>
                </c:pt>
                <c:pt idx="32">
                  <c:v>2.3713874441002591</c:v>
                </c:pt>
                <c:pt idx="33">
                  <c:v>1.9307751470650689</c:v>
                </c:pt>
                <c:pt idx="34">
                  <c:v>2.1358381108889453</c:v>
                </c:pt>
                <c:pt idx="35">
                  <c:v>1.6952258138537546</c:v>
                </c:pt>
                <c:pt idx="36">
                  <c:v>2.2201931160794643</c:v>
                </c:pt>
                <c:pt idx="37">
                  <c:v>1.7795808190442739</c:v>
                </c:pt>
                <c:pt idx="38">
                  <c:v>1.9846437828681505</c:v>
                </c:pt>
                <c:pt idx="39">
                  <c:v>1.5440314858329598</c:v>
                </c:pt>
                <c:pt idx="40">
                  <c:v>2.1535239089633591</c:v>
                </c:pt>
                <c:pt idx="41">
                  <c:v>1.712911611928168</c:v>
                </c:pt>
                <c:pt idx="42">
                  <c:v>1.9179745757520446</c:v>
                </c:pt>
                <c:pt idx="43">
                  <c:v>1.4773622787168539</c:v>
                </c:pt>
                <c:pt idx="44">
                  <c:v>2.0023295809425639</c:v>
                </c:pt>
                <c:pt idx="45">
                  <c:v>1.5617172839073734</c:v>
                </c:pt>
                <c:pt idx="46">
                  <c:v>1.7667802477312495</c:v>
                </c:pt>
                <c:pt idx="47">
                  <c:v>1.3261679506960591</c:v>
                </c:pt>
                <c:pt idx="48">
                  <c:v>1.8117166622072554</c:v>
                </c:pt>
                <c:pt idx="49">
                  <c:v>1.3711043651720647</c:v>
                </c:pt>
                <c:pt idx="50">
                  <c:v>1.576167328995941</c:v>
                </c:pt>
                <c:pt idx="51">
                  <c:v>1.1355550319607506</c:v>
                </c:pt>
                <c:pt idx="52">
                  <c:v>1.6605223341864603</c:v>
                </c:pt>
                <c:pt idx="53">
                  <c:v>1.2199100371512699</c:v>
                </c:pt>
                <c:pt idx="54">
                  <c:v>1.4249730009751462</c:v>
                </c:pt>
                <c:pt idx="55">
                  <c:v>0.98436070393995567</c:v>
                </c:pt>
                <c:pt idx="56">
                  <c:v>1.5938531270703546</c:v>
                </c:pt>
                <c:pt idx="57">
                  <c:v>1.153240830035164</c:v>
                </c:pt>
                <c:pt idx="58">
                  <c:v>1.3583037938590405</c:v>
                </c:pt>
                <c:pt idx="59">
                  <c:v>0.91769149682384965</c:v>
                </c:pt>
                <c:pt idx="60">
                  <c:v>1.4426587990495596</c:v>
                </c:pt>
                <c:pt idx="61">
                  <c:v>1.0020465020143692</c:v>
                </c:pt>
                <c:pt idx="62">
                  <c:v>1.2071094658382455</c:v>
                </c:pt>
                <c:pt idx="63">
                  <c:v>0.76649716880305485</c:v>
                </c:pt>
                <c:pt idx="64">
                  <c:v>1.7676027415253599</c:v>
                </c:pt>
                <c:pt idx="65">
                  <c:v>1.3269904444901695</c:v>
                </c:pt>
                <c:pt idx="66">
                  <c:v>1.5320534083140458</c:v>
                </c:pt>
                <c:pt idx="67">
                  <c:v>1.0914411112788553</c:v>
                </c:pt>
                <c:pt idx="68">
                  <c:v>1.6164084135045653</c:v>
                </c:pt>
                <c:pt idx="69">
                  <c:v>1.1757961164693747</c:v>
                </c:pt>
                <c:pt idx="70">
                  <c:v>1.380859080293251</c:v>
                </c:pt>
                <c:pt idx="71">
                  <c:v>0.94024678325806066</c:v>
                </c:pt>
                <c:pt idx="72">
                  <c:v>1.5497392063884594</c:v>
                </c:pt>
                <c:pt idx="73">
                  <c:v>1.1091269093532687</c:v>
                </c:pt>
                <c:pt idx="74">
                  <c:v>1.3141898731771451</c:v>
                </c:pt>
                <c:pt idx="75">
                  <c:v>0.87357757614195464</c:v>
                </c:pt>
                <c:pt idx="76">
                  <c:v>1.3985448783676646</c:v>
                </c:pt>
                <c:pt idx="77">
                  <c:v>0.95793258133247394</c:v>
                </c:pt>
                <c:pt idx="78">
                  <c:v>1.1629955451563503</c:v>
                </c:pt>
                <c:pt idx="79">
                  <c:v>0.72238324812115984</c:v>
                </c:pt>
                <c:pt idx="80">
                  <c:v>1.2079319596323561</c:v>
                </c:pt>
                <c:pt idx="81">
                  <c:v>0.76731966259716544</c:v>
                </c:pt>
                <c:pt idx="82">
                  <c:v>0.97238262642104201</c:v>
                </c:pt>
                <c:pt idx="83">
                  <c:v>0.53177032938585134</c:v>
                </c:pt>
                <c:pt idx="84">
                  <c:v>1.0567376316115613</c:v>
                </c:pt>
                <c:pt idx="85">
                  <c:v>0.61612533457637064</c:v>
                </c:pt>
                <c:pt idx="86">
                  <c:v>0.82118829840024721</c:v>
                </c:pt>
                <c:pt idx="87">
                  <c:v>0.38057600136505632</c:v>
                </c:pt>
                <c:pt idx="88">
                  <c:v>0.99006842449545551</c:v>
                </c:pt>
                <c:pt idx="89">
                  <c:v>0.54945612746026473</c:v>
                </c:pt>
                <c:pt idx="90">
                  <c:v>0.75451909128414119</c:v>
                </c:pt>
                <c:pt idx="91">
                  <c:v>0.31390679424895052</c:v>
                </c:pt>
                <c:pt idx="92">
                  <c:v>0.83887409647466049</c:v>
                </c:pt>
                <c:pt idx="93">
                  <c:v>0.39826179943946982</c:v>
                </c:pt>
                <c:pt idx="94">
                  <c:v>0.60332476326334639</c:v>
                </c:pt>
                <c:pt idx="95">
                  <c:v>0.16271246622815563</c:v>
                </c:pt>
                <c:pt idx="96">
                  <c:v>1.5529261076448095</c:v>
                </c:pt>
                <c:pt idx="97">
                  <c:v>1.1123138106096191</c:v>
                </c:pt>
                <c:pt idx="98">
                  <c:v>1.3173767744334954</c:v>
                </c:pt>
                <c:pt idx="99">
                  <c:v>0.87676447739830488</c:v>
                </c:pt>
                <c:pt idx="100">
                  <c:v>1.401731779624015</c:v>
                </c:pt>
                <c:pt idx="101">
                  <c:v>0.9611194825888244</c:v>
                </c:pt>
                <c:pt idx="102">
                  <c:v>1.1661824464127006</c:v>
                </c:pt>
                <c:pt idx="103">
                  <c:v>0.72557014937751008</c:v>
                </c:pt>
                <c:pt idx="104">
                  <c:v>1.3350625725079091</c:v>
                </c:pt>
                <c:pt idx="105">
                  <c:v>0.89445027547271838</c:v>
                </c:pt>
                <c:pt idx="106">
                  <c:v>1.0995132392965947</c:v>
                </c:pt>
                <c:pt idx="107">
                  <c:v>0.65890094226140405</c:v>
                </c:pt>
                <c:pt idx="108">
                  <c:v>1.1838682444871143</c:v>
                </c:pt>
                <c:pt idx="109">
                  <c:v>0.74325594745192358</c:v>
                </c:pt>
                <c:pt idx="110">
                  <c:v>0.94831891127579993</c:v>
                </c:pt>
                <c:pt idx="111">
                  <c:v>0.50770661424060926</c:v>
                </c:pt>
                <c:pt idx="112">
                  <c:v>0.99325532575180575</c:v>
                </c:pt>
                <c:pt idx="113">
                  <c:v>0.55264302871661508</c:v>
                </c:pt>
                <c:pt idx="114">
                  <c:v>0.75770599254049142</c:v>
                </c:pt>
                <c:pt idx="115">
                  <c:v>0.31709369550530075</c:v>
                </c:pt>
                <c:pt idx="116">
                  <c:v>0.84206099773101073</c:v>
                </c:pt>
                <c:pt idx="117">
                  <c:v>0.40144870069582006</c:v>
                </c:pt>
                <c:pt idx="118">
                  <c:v>0.60651166451969651</c:v>
                </c:pt>
                <c:pt idx="119">
                  <c:v>0.16589936748450593</c:v>
                </c:pt>
                <c:pt idx="120">
                  <c:v>0.77539179061490493</c:v>
                </c:pt>
                <c:pt idx="121">
                  <c:v>0.33477949357971432</c:v>
                </c:pt>
                <c:pt idx="122">
                  <c:v>0.53984245740359083</c:v>
                </c:pt>
                <c:pt idx="123">
                  <c:v>9.9230160368400072E-2</c:v>
                </c:pt>
                <c:pt idx="124">
                  <c:v>0.62419746259411013</c:v>
                </c:pt>
                <c:pt idx="125">
                  <c:v>0.18358516555891938</c:v>
                </c:pt>
                <c:pt idx="126">
                  <c:v>0.38864812938279586</c:v>
                </c:pt>
                <c:pt idx="127">
                  <c:v>-5.1964167652394783E-2</c:v>
                </c:pt>
                <c:pt idx="128">
                  <c:v>2.4071073567086141</c:v>
                </c:pt>
                <c:pt idx="129">
                  <c:v>1.9664950596734236</c:v>
                </c:pt>
                <c:pt idx="130">
                  <c:v>2.1715580234973002</c:v>
                </c:pt>
                <c:pt idx="131">
                  <c:v>1.7309457264621093</c:v>
                </c:pt>
                <c:pt idx="132">
                  <c:v>2.2559130286878197</c:v>
                </c:pt>
                <c:pt idx="133">
                  <c:v>1.8153007316526288</c:v>
                </c:pt>
                <c:pt idx="134">
                  <c:v>2.020363695476505</c:v>
                </c:pt>
                <c:pt idx="135">
                  <c:v>1.5797513984413147</c:v>
                </c:pt>
                <c:pt idx="136">
                  <c:v>2.1892438215717136</c:v>
                </c:pt>
                <c:pt idx="137">
                  <c:v>1.7486315245365229</c:v>
                </c:pt>
                <c:pt idx="138">
                  <c:v>1.9536944883603995</c:v>
                </c:pt>
                <c:pt idx="139">
                  <c:v>1.5130821913252088</c:v>
                </c:pt>
                <c:pt idx="140">
                  <c:v>2.0380494935509184</c:v>
                </c:pt>
                <c:pt idx="141">
                  <c:v>1.5974371965157281</c:v>
                </c:pt>
                <c:pt idx="142">
                  <c:v>1.8025001603396045</c:v>
                </c:pt>
                <c:pt idx="143">
                  <c:v>1.3618878633044138</c:v>
                </c:pt>
                <c:pt idx="144">
                  <c:v>1.8474365748156103</c:v>
                </c:pt>
                <c:pt idx="145">
                  <c:v>1.4068242777804196</c:v>
                </c:pt>
                <c:pt idx="146">
                  <c:v>1.6118872416042962</c:v>
                </c:pt>
                <c:pt idx="147">
                  <c:v>1.1712749445691055</c:v>
                </c:pt>
                <c:pt idx="148">
                  <c:v>1.6962422467948153</c:v>
                </c:pt>
                <c:pt idx="149">
                  <c:v>1.2556299497596246</c:v>
                </c:pt>
                <c:pt idx="150">
                  <c:v>1.4606929135835012</c:v>
                </c:pt>
                <c:pt idx="151">
                  <c:v>1.0200806165483105</c:v>
                </c:pt>
                <c:pt idx="152">
                  <c:v>1.6295730396787096</c:v>
                </c:pt>
                <c:pt idx="153">
                  <c:v>1.1889607426435189</c:v>
                </c:pt>
                <c:pt idx="154">
                  <c:v>1.3940237064673953</c:v>
                </c:pt>
                <c:pt idx="155">
                  <c:v>0.95341140943220448</c:v>
                </c:pt>
                <c:pt idx="156">
                  <c:v>1.4783787116579146</c:v>
                </c:pt>
                <c:pt idx="157">
                  <c:v>1.0377664146227241</c:v>
                </c:pt>
                <c:pt idx="158">
                  <c:v>1.2428293784466005</c:v>
                </c:pt>
                <c:pt idx="159">
                  <c:v>0.80221708141140979</c:v>
                </c:pt>
                <c:pt idx="160">
                  <c:v>2.1924307228280635</c:v>
                </c:pt>
                <c:pt idx="161">
                  <c:v>1.7518184257928731</c:v>
                </c:pt>
                <c:pt idx="162">
                  <c:v>1.9568813896167498</c:v>
                </c:pt>
                <c:pt idx="163">
                  <c:v>1.516269092581559</c:v>
                </c:pt>
                <c:pt idx="164">
                  <c:v>2.0412363948072691</c:v>
                </c:pt>
                <c:pt idx="165">
                  <c:v>1.6006240977720783</c:v>
                </c:pt>
                <c:pt idx="166">
                  <c:v>1.8056870615959548</c:v>
                </c:pt>
                <c:pt idx="167">
                  <c:v>1.3650747645607642</c:v>
                </c:pt>
                <c:pt idx="168">
                  <c:v>1.9745671876911635</c:v>
                </c:pt>
                <c:pt idx="169">
                  <c:v>1.5339548906559723</c:v>
                </c:pt>
                <c:pt idx="170">
                  <c:v>1.7390178544798489</c:v>
                </c:pt>
                <c:pt idx="171">
                  <c:v>1.2984055574446582</c:v>
                </c:pt>
                <c:pt idx="172">
                  <c:v>1.8233728596703684</c:v>
                </c:pt>
                <c:pt idx="173">
                  <c:v>1.3827605626351778</c:v>
                </c:pt>
                <c:pt idx="174">
                  <c:v>1.5878235264590541</c:v>
                </c:pt>
                <c:pt idx="175">
                  <c:v>1.1472112294238634</c:v>
                </c:pt>
                <c:pt idx="176">
                  <c:v>1.6327599409350599</c:v>
                </c:pt>
                <c:pt idx="177">
                  <c:v>1.192147643899869</c:v>
                </c:pt>
                <c:pt idx="178">
                  <c:v>1.3972106077237456</c:v>
                </c:pt>
                <c:pt idx="179">
                  <c:v>0.95659831068855494</c:v>
                </c:pt>
                <c:pt idx="180">
                  <c:v>1.4815656129142649</c:v>
                </c:pt>
                <c:pt idx="181">
                  <c:v>1.0409533158790742</c:v>
                </c:pt>
                <c:pt idx="182">
                  <c:v>1.2460162797029508</c:v>
                </c:pt>
                <c:pt idx="183">
                  <c:v>0.80540398266776014</c:v>
                </c:pt>
                <c:pt idx="184">
                  <c:v>1.414896405798159</c:v>
                </c:pt>
                <c:pt idx="185">
                  <c:v>0.97428410876296845</c:v>
                </c:pt>
                <c:pt idx="186">
                  <c:v>1.1793470725868449</c:v>
                </c:pt>
                <c:pt idx="187">
                  <c:v>0.73873477555165412</c:v>
                </c:pt>
                <c:pt idx="188">
                  <c:v>1.263702077777364</c:v>
                </c:pt>
                <c:pt idx="189">
                  <c:v>0.82308978074217354</c:v>
                </c:pt>
                <c:pt idx="190">
                  <c:v>1.0281527445660499</c:v>
                </c:pt>
                <c:pt idx="191">
                  <c:v>0.58754044753085932</c:v>
                </c:pt>
                <c:pt idx="192">
                  <c:v>1.5886460202531645</c:v>
                </c:pt>
                <c:pt idx="193">
                  <c:v>1.1480337232179738</c:v>
                </c:pt>
                <c:pt idx="194">
                  <c:v>1.3530966870418504</c:v>
                </c:pt>
                <c:pt idx="195">
                  <c:v>0.91248439000665971</c:v>
                </c:pt>
                <c:pt idx="196">
                  <c:v>1.4374516922323699</c:v>
                </c:pt>
                <c:pt idx="197">
                  <c:v>0.99683939519717923</c:v>
                </c:pt>
                <c:pt idx="198">
                  <c:v>1.2019023590210556</c:v>
                </c:pt>
                <c:pt idx="199">
                  <c:v>0.76129006198586491</c:v>
                </c:pt>
                <c:pt idx="200">
                  <c:v>1.3707824851162638</c:v>
                </c:pt>
                <c:pt idx="201">
                  <c:v>0.93017018808107321</c:v>
                </c:pt>
                <c:pt idx="202">
                  <c:v>1.1352331519049494</c:v>
                </c:pt>
                <c:pt idx="203">
                  <c:v>0.694620854869759</c:v>
                </c:pt>
                <c:pt idx="204">
                  <c:v>1.219588157095469</c:v>
                </c:pt>
                <c:pt idx="205">
                  <c:v>0.77897586006027841</c:v>
                </c:pt>
                <c:pt idx="206">
                  <c:v>0.98403882388415465</c:v>
                </c:pt>
                <c:pt idx="207">
                  <c:v>0.5434265268489642</c:v>
                </c:pt>
                <c:pt idx="208">
                  <c:v>1.0289752383601605</c:v>
                </c:pt>
                <c:pt idx="209">
                  <c:v>0.58836294132496991</c:v>
                </c:pt>
                <c:pt idx="210">
                  <c:v>0.79342590514884626</c:v>
                </c:pt>
                <c:pt idx="211">
                  <c:v>0.3528136081136557</c:v>
                </c:pt>
                <c:pt idx="212">
                  <c:v>0.87778091033936556</c:v>
                </c:pt>
                <c:pt idx="213">
                  <c:v>0.43716861330417495</c:v>
                </c:pt>
                <c:pt idx="214">
                  <c:v>0.64223157712805146</c:v>
                </c:pt>
                <c:pt idx="215">
                  <c:v>0.2016192800928607</c:v>
                </c:pt>
                <c:pt idx="216">
                  <c:v>0.81111170322325987</c:v>
                </c:pt>
                <c:pt idx="217">
                  <c:v>0.37049940618806909</c:v>
                </c:pt>
                <c:pt idx="218">
                  <c:v>0.57556237001194566</c:v>
                </c:pt>
                <c:pt idx="219">
                  <c:v>0.13495007297675485</c:v>
                </c:pt>
                <c:pt idx="220">
                  <c:v>0.65991737520246485</c:v>
                </c:pt>
                <c:pt idx="221">
                  <c:v>0.21930507816727421</c:v>
                </c:pt>
                <c:pt idx="222">
                  <c:v>0.42436804199115064</c:v>
                </c:pt>
                <c:pt idx="223">
                  <c:v>-1.6244255044039979E-2</c:v>
                </c:pt>
                <c:pt idx="224">
                  <c:v>1.3739693863726141</c:v>
                </c:pt>
                <c:pt idx="225">
                  <c:v>0.93335708933742345</c:v>
                </c:pt>
                <c:pt idx="226">
                  <c:v>1.1384200531613</c:v>
                </c:pt>
                <c:pt idx="227">
                  <c:v>0.69780775612610935</c:v>
                </c:pt>
                <c:pt idx="228">
                  <c:v>1.2227750583518195</c:v>
                </c:pt>
                <c:pt idx="229">
                  <c:v>0.78216276131662865</c:v>
                </c:pt>
                <c:pt idx="230">
                  <c:v>0.98722572514050511</c:v>
                </c:pt>
                <c:pt idx="231">
                  <c:v>0.54661342810531455</c:v>
                </c:pt>
                <c:pt idx="232">
                  <c:v>1.1561058512357134</c:v>
                </c:pt>
                <c:pt idx="233">
                  <c:v>0.71549355420052274</c:v>
                </c:pt>
                <c:pt idx="234">
                  <c:v>0.92055651802439908</c:v>
                </c:pt>
                <c:pt idx="235">
                  <c:v>0.47994422098920853</c:v>
                </c:pt>
                <c:pt idx="236">
                  <c:v>1.0049115232149186</c:v>
                </c:pt>
                <c:pt idx="237">
                  <c:v>0.56429922617972794</c:v>
                </c:pt>
                <c:pt idx="238">
                  <c:v>0.76936219000360428</c:v>
                </c:pt>
                <c:pt idx="239">
                  <c:v>0.32874989296841373</c:v>
                </c:pt>
                <c:pt idx="240">
                  <c:v>0.81429860447961011</c:v>
                </c:pt>
                <c:pt idx="241">
                  <c:v>0.37368630744441944</c:v>
                </c:pt>
                <c:pt idx="242">
                  <c:v>0.57874927126829578</c:v>
                </c:pt>
                <c:pt idx="243">
                  <c:v>0.13813697423310517</c:v>
                </c:pt>
                <c:pt idx="244">
                  <c:v>0.66310427645881509</c:v>
                </c:pt>
                <c:pt idx="245">
                  <c:v>0.22249197942362448</c:v>
                </c:pt>
                <c:pt idx="246">
                  <c:v>0.42755494324750098</c:v>
                </c:pt>
                <c:pt idx="247">
                  <c:v>-1.3057353787689713E-2</c:v>
                </c:pt>
                <c:pt idx="248">
                  <c:v>0.5964350693427094</c:v>
                </c:pt>
                <c:pt idx="249">
                  <c:v>0.15582277230751862</c:v>
                </c:pt>
                <c:pt idx="250">
                  <c:v>0.36088573613139507</c:v>
                </c:pt>
                <c:pt idx="251">
                  <c:v>-7.9726560903795568E-2</c:v>
                </c:pt>
                <c:pt idx="252">
                  <c:v>0.44524074132191438</c:v>
                </c:pt>
                <c:pt idx="253">
                  <c:v>4.6284442867237652E-3</c:v>
                </c:pt>
                <c:pt idx="254">
                  <c:v>0.20969140811060022</c:v>
                </c:pt>
                <c:pt idx="255">
                  <c:v>-0.23092088892459042</c:v>
                </c:pt>
              </c:numCache>
            </c:numRef>
          </c:xVal>
          <c:yVal>
            <c:numRef>
              <c:f>backend!$R$2:$R$262</c:f>
              <c:numCache>
                <c:formatCode>General</c:formatCode>
                <c:ptCount val="261"/>
                <c:pt idx="0">
                  <c:v>3.1327846875000009E-2</c:v>
                </c:pt>
                <c:pt idx="1">
                  <c:v>2.0885231250000004E-2</c:v>
                </c:pt>
                <c:pt idx="2">
                  <c:v>1.6868840625000003E-2</c:v>
                </c:pt>
                <c:pt idx="3">
                  <c:v>1.1245893750000003E-2</c:v>
                </c:pt>
                <c:pt idx="4">
                  <c:v>1.6868840624999999E-2</c:v>
                </c:pt>
                <c:pt idx="5">
                  <c:v>1.1245893750000001E-2</c:v>
                </c:pt>
                <c:pt idx="6">
                  <c:v>9.0832218750000002E-3</c:v>
                </c:pt>
                <c:pt idx="7">
                  <c:v>6.0554812500000004E-3</c:v>
                </c:pt>
                <c:pt idx="8">
                  <c:v>1.6868840624999996E-2</c:v>
                </c:pt>
                <c:pt idx="9">
                  <c:v>1.1245893749999999E-2</c:v>
                </c:pt>
                <c:pt idx="10">
                  <c:v>9.0832218749999968E-3</c:v>
                </c:pt>
                <c:pt idx="11">
                  <c:v>6.0554812500000004E-3</c:v>
                </c:pt>
                <c:pt idx="12">
                  <c:v>9.0832218750000002E-3</c:v>
                </c:pt>
                <c:pt idx="13">
                  <c:v>6.0554812500000004E-3</c:v>
                </c:pt>
                <c:pt idx="14">
                  <c:v>4.8909656249999994E-3</c:v>
                </c:pt>
                <c:pt idx="15">
                  <c:v>3.2606437499999997E-3</c:v>
                </c:pt>
                <c:pt idx="16">
                  <c:v>1.6868840624999996E-2</c:v>
                </c:pt>
                <c:pt idx="17">
                  <c:v>1.1245893749999999E-2</c:v>
                </c:pt>
                <c:pt idx="18">
                  <c:v>9.0832218749999968E-3</c:v>
                </c:pt>
                <c:pt idx="19">
                  <c:v>6.0554812500000004E-3</c:v>
                </c:pt>
                <c:pt idx="20">
                  <c:v>9.0832218750000002E-3</c:v>
                </c:pt>
                <c:pt idx="21">
                  <c:v>6.0554812500000004E-3</c:v>
                </c:pt>
                <c:pt idx="22">
                  <c:v>4.8909656249999994E-3</c:v>
                </c:pt>
                <c:pt idx="23">
                  <c:v>3.2606437499999997E-3</c:v>
                </c:pt>
                <c:pt idx="24">
                  <c:v>9.0832218750000002E-3</c:v>
                </c:pt>
                <c:pt idx="25">
                  <c:v>6.0554812500000004E-3</c:v>
                </c:pt>
                <c:pt idx="26">
                  <c:v>4.8909656249999994E-3</c:v>
                </c:pt>
                <c:pt idx="27">
                  <c:v>3.2606437499999997E-3</c:v>
                </c:pt>
                <c:pt idx="28">
                  <c:v>4.8909656249999994E-3</c:v>
                </c:pt>
                <c:pt idx="29">
                  <c:v>3.2606437499999997E-3</c:v>
                </c:pt>
                <c:pt idx="30">
                  <c:v>2.6335968749999989E-3</c:v>
                </c:pt>
                <c:pt idx="31">
                  <c:v>1.7557312499999994E-3</c:v>
                </c:pt>
                <c:pt idx="32">
                  <c:v>1.0442615625000004E-2</c:v>
                </c:pt>
                <c:pt idx="33">
                  <c:v>6.9617437500000025E-3</c:v>
                </c:pt>
                <c:pt idx="34">
                  <c:v>5.6229468750000006E-3</c:v>
                </c:pt>
                <c:pt idx="35">
                  <c:v>3.7486312500000008E-3</c:v>
                </c:pt>
                <c:pt idx="36">
                  <c:v>5.6229468750000006E-3</c:v>
                </c:pt>
                <c:pt idx="37">
                  <c:v>3.7486312500000004E-3</c:v>
                </c:pt>
                <c:pt idx="38">
                  <c:v>3.0277406250000002E-3</c:v>
                </c:pt>
                <c:pt idx="39">
                  <c:v>2.0184937499999997E-3</c:v>
                </c:pt>
                <c:pt idx="40">
                  <c:v>5.6229468749999997E-3</c:v>
                </c:pt>
                <c:pt idx="41">
                  <c:v>3.7486312499999995E-3</c:v>
                </c:pt>
                <c:pt idx="42">
                  <c:v>3.0277406249999989E-3</c:v>
                </c:pt>
                <c:pt idx="43">
                  <c:v>2.0184937499999997E-3</c:v>
                </c:pt>
                <c:pt idx="44">
                  <c:v>3.0277406250000002E-3</c:v>
                </c:pt>
                <c:pt idx="45">
                  <c:v>2.0184937499999997E-3</c:v>
                </c:pt>
                <c:pt idx="46">
                  <c:v>1.6303218749999999E-3</c:v>
                </c:pt>
                <c:pt idx="47">
                  <c:v>1.0868812499999997E-3</c:v>
                </c:pt>
                <c:pt idx="48">
                  <c:v>5.6229468749999997E-3</c:v>
                </c:pt>
                <c:pt idx="49">
                  <c:v>3.7486312499999995E-3</c:v>
                </c:pt>
                <c:pt idx="50">
                  <c:v>3.0277406249999989E-3</c:v>
                </c:pt>
                <c:pt idx="51">
                  <c:v>2.0184937499999997E-3</c:v>
                </c:pt>
                <c:pt idx="52">
                  <c:v>3.0277406250000002E-3</c:v>
                </c:pt>
                <c:pt idx="53">
                  <c:v>2.0184937499999997E-3</c:v>
                </c:pt>
                <c:pt idx="54">
                  <c:v>1.6303218749999999E-3</c:v>
                </c:pt>
                <c:pt idx="55">
                  <c:v>1.0868812499999997E-3</c:v>
                </c:pt>
                <c:pt idx="56">
                  <c:v>3.0277406250000002E-3</c:v>
                </c:pt>
                <c:pt idx="57">
                  <c:v>2.0184937499999997E-3</c:v>
                </c:pt>
                <c:pt idx="58">
                  <c:v>1.6303218749999999E-3</c:v>
                </c:pt>
                <c:pt idx="59">
                  <c:v>1.0868812499999997E-3</c:v>
                </c:pt>
                <c:pt idx="60">
                  <c:v>1.6303218749999999E-3</c:v>
                </c:pt>
                <c:pt idx="61">
                  <c:v>1.0868812499999997E-3</c:v>
                </c:pt>
                <c:pt idx="62">
                  <c:v>8.7786562499999959E-4</c:v>
                </c:pt>
                <c:pt idx="63">
                  <c:v>5.8524374999999987E-4</c:v>
                </c:pt>
                <c:pt idx="64">
                  <c:v>2.0885231250000007E-2</c:v>
                </c:pt>
                <c:pt idx="65">
                  <c:v>1.3923487500000005E-2</c:v>
                </c:pt>
                <c:pt idx="66">
                  <c:v>1.1245893750000003E-2</c:v>
                </c:pt>
                <c:pt idx="67">
                  <c:v>7.4972625000000017E-3</c:v>
                </c:pt>
                <c:pt idx="68">
                  <c:v>1.1245893750000001E-2</c:v>
                </c:pt>
                <c:pt idx="69">
                  <c:v>7.4972625000000017E-3</c:v>
                </c:pt>
                <c:pt idx="70">
                  <c:v>6.0554812500000004E-3</c:v>
                </c:pt>
                <c:pt idx="71">
                  <c:v>4.0369875000000003E-3</c:v>
                </c:pt>
                <c:pt idx="72">
                  <c:v>1.1245893749999999E-2</c:v>
                </c:pt>
                <c:pt idx="73">
                  <c:v>7.4972624999999999E-3</c:v>
                </c:pt>
                <c:pt idx="74">
                  <c:v>6.0554812499999987E-3</c:v>
                </c:pt>
                <c:pt idx="75">
                  <c:v>4.0369875000000003E-3</c:v>
                </c:pt>
                <c:pt idx="76">
                  <c:v>6.0554812500000004E-3</c:v>
                </c:pt>
                <c:pt idx="77">
                  <c:v>4.0369875000000003E-3</c:v>
                </c:pt>
                <c:pt idx="78">
                  <c:v>3.2606437500000002E-3</c:v>
                </c:pt>
                <c:pt idx="79">
                  <c:v>2.1737624999999998E-3</c:v>
                </c:pt>
                <c:pt idx="80">
                  <c:v>1.1245893749999999E-2</c:v>
                </c:pt>
                <c:pt idx="81">
                  <c:v>7.4972624999999999E-3</c:v>
                </c:pt>
                <c:pt idx="82">
                  <c:v>6.0554812499999987E-3</c:v>
                </c:pt>
                <c:pt idx="83">
                  <c:v>4.0369875000000003E-3</c:v>
                </c:pt>
                <c:pt idx="84">
                  <c:v>6.0554812500000004E-3</c:v>
                </c:pt>
                <c:pt idx="85">
                  <c:v>4.0369875000000003E-3</c:v>
                </c:pt>
                <c:pt idx="86">
                  <c:v>3.2606437500000002E-3</c:v>
                </c:pt>
                <c:pt idx="87">
                  <c:v>2.1737624999999998E-3</c:v>
                </c:pt>
                <c:pt idx="88">
                  <c:v>6.0554812500000004E-3</c:v>
                </c:pt>
                <c:pt idx="89">
                  <c:v>4.0369875000000003E-3</c:v>
                </c:pt>
                <c:pt idx="90">
                  <c:v>3.2606437500000002E-3</c:v>
                </c:pt>
                <c:pt idx="91">
                  <c:v>2.1737624999999998E-3</c:v>
                </c:pt>
                <c:pt idx="92">
                  <c:v>3.2606437500000002E-3</c:v>
                </c:pt>
                <c:pt idx="93">
                  <c:v>2.1737624999999998E-3</c:v>
                </c:pt>
                <c:pt idx="94">
                  <c:v>1.7557312499999992E-3</c:v>
                </c:pt>
                <c:pt idx="95">
                  <c:v>1.1704874999999997E-3</c:v>
                </c:pt>
                <c:pt idx="96">
                  <c:v>6.9617437500000033E-3</c:v>
                </c:pt>
                <c:pt idx="97">
                  <c:v>4.6411625000000014E-3</c:v>
                </c:pt>
                <c:pt idx="98">
                  <c:v>3.7486312500000008E-3</c:v>
                </c:pt>
                <c:pt idx="99">
                  <c:v>2.4990875000000007E-3</c:v>
                </c:pt>
                <c:pt idx="100">
                  <c:v>3.7486312500000004E-3</c:v>
                </c:pt>
                <c:pt idx="101">
                  <c:v>2.4990875000000003E-3</c:v>
                </c:pt>
                <c:pt idx="102">
                  <c:v>2.0184937500000001E-3</c:v>
                </c:pt>
                <c:pt idx="103">
                  <c:v>1.3456625E-3</c:v>
                </c:pt>
                <c:pt idx="104">
                  <c:v>3.74863125E-3</c:v>
                </c:pt>
                <c:pt idx="105">
                  <c:v>2.4990874999999998E-3</c:v>
                </c:pt>
                <c:pt idx="106">
                  <c:v>2.0184937499999997E-3</c:v>
                </c:pt>
                <c:pt idx="107">
                  <c:v>1.3456625E-3</c:v>
                </c:pt>
                <c:pt idx="108">
                  <c:v>2.0184937500000001E-3</c:v>
                </c:pt>
                <c:pt idx="109">
                  <c:v>1.3456625E-3</c:v>
                </c:pt>
                <c:pt idx="110">
                  <c:v>1.0868812499999999E-3</c:v>
                </c:pt>
                <c:pt idx="111">
                  <c:v>7.2458749999999991E-4</c:v>
                </c:pt>
                <c:pt idx="112">
                  <c:v>3.74863125E-3</c:v>
                </c:pt>
                <c:pt idx="113">
                  <c:v>2.4990874999999998E-3</c:v>
                </c:pt>
                <c:pt idx="114">
                  <c:v>2.0184937499999997E-3</c:v>
                </c:pt>
                <c:pt idx="115">
                  <c:v>1.3456625E-3</c:v>
                </c:pt>
                <c:pt idx="116">
                  <c:v>2.0184937500000001E-3</c:v>
                </c:pt>
                <c:pt idx="117">
                  <c:v>1.3456625E-3</c:v>
                </c:pt>
                <c:pt idx="118">
                  <c:v>1.0868812499999999E-3</c:v>
                </c:pt>
                <c:pt idx="119">
                  <c:v>7.2458749999999991E-4</c:v>
                </c:pt>
                <c:pt idx="120">
                  <c:v>2.0184937500000001E-3</c:v>
                </c:pt>
                <c:pt idx="121">
                  <c:v>1.3456625E-3</c:v>
                </c:pt>
                <c:pt idx="122">
                  <c:v>1.0868812499999999E-3</c:v>
                </c:pt>
                <c:pt idx="123">
                  <c:v>7.2458749999999991E-4</c:v>
                </c:pt>
                <c:pt idx="124">
                  <c:v>1.0868812499999999E-3</c:v>
                </c:pt>
                <c:pt idx="125">
                  <c:v>7.2458749999999991E-4</c:v>
                </c:pt>
                <c:pt idx="126">
                  <c:v>5.8524374999999987E-4</c:v>
                </c:pt>
                <c:pt idx="127">
                  <c:v>3.9016249999999995E-4</c:v>
                </c:pt>
                <c:pt idx="128">
                  <c:v>1.6868840625000003E-2</c:v>
                </c:pt>
                <c:pt idx="129">
                  <c:v>1.1245893750000001E-2</c:v>
                </c:pt>
                <c:pt idx="130">
                  <c:v>9.0832218750000002E-3</c:v>
                </c:pt>
                <c:pt idx="131">
                  <c:v>6.0554812500000013E-3</c:v>
                </c:pt>
                <c:pt idx="132">
                  <c:v>9.0832218749999985E-3</c:v>
                </c:pt>
                <c:pt idx="133">
                  <c:v>6.0554812499999996E-3</c:v>
                </c:pt>
                <c:pt idx="134">
                  <c:v>4.8909656250000003E-3</c:v>
                </c:pt>
                <c:pt idx="135">
                  <c:v>3.2606437499999997E-3</c:v>
                </c:pt>
                <c:pt idx="136">
                  <c:v>9.0832218749999968E-3</c:v>
                </c:pt>
                <c:pt idx="137">
                  <c:v>6.0554812499999987E-3</c:v>
                </c:pt>
                <c:pt idx="138">
                  <c:v>4.8909656249999977E-3</c:v>
                </c:pt>
                <c:pt idx="139">
                  <c:v>3.2606437499999997E-3</c:v>
                </c:pt>
                <c:pt idx="140">
                  <c:v>4.8909656250000003E-3</c:v>
                </c:pt>
                <c:pt idx="141">
                  <c:v>3.2606437499999997E-3</c:v>
                </c:pt>
                <c:pt idx="142">
                  <c:v>2.6335968749999993E-3</c:v>
                </c:pt>
                <c:pt idx="143">
                  <c:v>1.7557312499999996E-3</c:v>
                </c:pt>
                <c:pt idx="144">
                  <c:v>9.0832218749999968E-3</c:v>
                </c:pt>
                <c:pt idx="145">
                  <c:v>6.0554812499999987E-3</c:v>
                </c:pt>
                <c:pt idx="146">
                  <c:v>4.8909656249999977E-3</c:v>
                </c:pt>
                <c:pt idx="147">
                  <c:v>3.2606437499999997E-3</c:v>
                </c:pt>
                <c:pt idx="148">
                  <c:v>4.8909656250000003E-3</c:v>
                </c:pt>
                <c:pt idx="149">
                  <c:v>3.2606437499999997E-3</c:v>
                </c:pt>
                <c:pt idx="150">
                  <c:v>2.6335968749999993E-3</c:v>
                </c:pt>
                <c:pt idx="151">
                  <c:v>1.7557312499999996E-3</c:v>
                </c:pt>
                <c:pt idx="152">
                  <c:v>4.8909656250000003E-3</c:v>
                </c:pt>
                <c:pt idx="153">
                  <c:v>3.2606437499999997E-3</c:v>
                </c:pt>
                <c:pt idx="154">
                  <c:v>2.6335968749999993E-3</c:v>
                </c:pt>
                <c:pt idx="155">
                  <c:v>1.7557312499999996E-3</c:v>
                </c:pt>
                <c:pt idx="156">
                  <c:v>2.6335968749999993E-3</c:v>
                </c:pt>
                <c:pt idx="157">
                  <c:v>1.7557312499999996E-3</c:v>
                </c:pt>
                <c:pt idx="158">
                  <c:v>1.4180906249999991E-3</c:v>
                </c:pt>
                <c:pt idx="159">
                  <c:v>9.453937499999996E-4</c:v>
                </c:pt>
                <c:pt idx="160">
                  <c:v>5.6229468750000015E-3</c:v>
                </c:pt>
                <c:pt idx="161">
                  <c:v>3.7486312500000008E-3</c:v>
                </c:pt>
                <c:pt idx="162">
                  <c:v>3.0277406249999998E-3</c:v>
                </c:pt>
                <c:pt idx="163">
                  <c:v>2.0184937500000006E-3</c:v>
                </c:pt>
                <c:pt idx="164">
                  <c:v>3.0277406249999998E-3</c:v>
                </c:pt>
                <c:pt idx="165">
                  <c:v>2.0184937500000001E-3</c:v>
                </c:pt>
                <c:pt idx="166">
                  <c:v>1.6303218749999999E-3</c:v>
                </c:pt>
                <c:pt idx="167">
                  <c:v>1.0868812499999997E-3</c:v>
                </c:pt>
                <c:pt idx="168">
                  <c:v>3.0277406249999994E-3</c:v>
                </c:pt>
                <c:pt idx="169">
                  <c:v>2.0184937499999993E-3</c:v>
                </c:pt>
                <c:pt idx="170">
                  <c:v>1.6303218749999992E-3</c:v>
                </c:pt>
                <c:pt idx="171">
                  <c:v>1.0868812499999997E-3</c:v>
                </c:pt>
                <c:pt idx="172">
                  <c:v>1.6303218749999999E-3</c:v>
                </c:pt>
                <c:pt idx="173">
                  <c:v>1.0868812499999997E-3</c:v>
                </c:pt>
                <c:pt idx="174">
                  <c:v>8.778656249999998E-4</c:v>
                </c:pt>
                <c:pt idx="175">
                  <c:v>5.8524374999999976E-4</c:v>
                </c:pt>
                <c:pt idx="176">
                  <c:v>3.0277406249999994E-3</c:v>
                </c:pt>
                <c:pt idx="177">
                  <c:v>2.0184937499999993E-3</c:v>
                </c:pt>
                <c:pt idx="178">
                  <c:v>1.6303218749999992E-3</c:v>
                </c:pt>
                <c:pt idx="179">
                  <c:v>1.0868812499999997E-3</c:v>
                </c:pt>
                <c:pt idx="180">
                  <c:v>1.6303218749999999E-3</c:v>
                </c:pt>
                <c:pt idx="181">
                  <c:v>1.0868812499999997E-3</c:v>
                </c:pt>
                <c:pt idx="182">
                  <c:v>8.778656249999998E-4</c:v>
                </c:pt>
                <c:pt idx="183">
                  <c:v>5.8524374999999976E-4</c:v>
                </c:pt>
                <c:pt idx="184">
                  <c:v>1.6303218749999999E-3</c:v>
                </c:pt>
                <c:pt idx="185">
                  <c:v>1.0868812499999997E-3</c:v>
                </c:pt>
                <c:pt idx="186">
                  <c:v>8.778656249999998E-4</c:v>
                </c:pt>
                <c:pt idx="187">
                  <c:v>5.8524374999999976E-4</c:v>
                </c:pt>
                <c:pt idx="188">
                  <c:v>8.778656249999998E-4</c:v>
                </c:pt>
                <c:pt idx="189">
                  <c:v>5.8524374999999976E-4</c:v>
                </c:pt>
                <c:pt idx="190">
                  <c:v>4.7269687499999974E-4</c:v>
                </c:pt>
                <c:pt idx="191">
                  <c:v>3.1513124999999988E-4</c:v>
                </c:pt>
                <c:pt idx="192">
                  <c:v>1.1245893750000003E-2</c:v>
                </c:pt>
                <c:pt idx="193">
                  <c:v>7.4972625000000017E-3</c:v>
                </c:pt>
                <c:pt idx="194">
                  <c:v>6.0554812500000013E-3</c:v>
                </c:pt>
                <c:pt idx="195">
                  <c:v>4.0369875000000012E-3</c:v>
                </c:pt>
                <c:pt idx="196">
                  <c:v>6.0554812499999996E-3</c:v>
                </c:pt>
                <c:pt idx="197">
                  <c:v>4.0369875000000012E-3</c:v>
                </c:pt>
                <c:pt idx="198">
                  <c:v>3.2606437499999997E-3</c:v>
                </c:pt>
                <c:pt idx="199">
                  <c:v>2.1737624999999998E-3</c:v>
                </c:pt>
                <c:pt idx="200">
                  <c:v>6.0554812499999987E-3</c:v>
                </c:pt>
                <c:pt idx="201">
                  <c:v>4.0369874999999994E-3</c:v>
                </c:pt>
                <c:pt idx="202">
                  <c:v>3.2606437499999993E-3</c:v>
                </c:pt>
                <c:pt idx="203">
                  <c:v>2.1737624999999998E-3</c:v>
                </c:pt>
                <c:pt idx="204">
                  <c:v>3.2606437499999997E-3</c:v>
                </c:pt>
                <c:pt idx="205">
                  <c:v>2.1737624999999998E-3</c:v>
                </c:pt>
                <c:pt idx="206">
                  <c:v>1.7557312499999998E-3</c:v>
                </c:pt>
                <c:pt idx="207">
                  <c:v>1.1704874999999997E-3</c:v>
                </c:pt>
                <c:pt idx="208">
                  <c:v>6.0554812499999987E-3</c:v>
                </c:pt>
                <c:pt idx="209">
                  <c:v>4.0369874999999994E-3</c:v>
                </c:pt>
                <c:pt idx="210">
                  <c:v>3.2606437499999993E-3</c:v>
                </c:pt>
                <c:pt idx="211">
                  <c:v>2.1737624999999998E-3</c:v>
                </c:pt>
                <c:pt idx="212">
                  <c:v>3.2606437499999997E-3</c:v>
                </c:pt>
                <c:pt idx="213">
                  <c:v>2.1737624999999998E-3</c:v>
                </c:pt>
                <c:pt idx="214">
                  <c:v>1.7557312499999998E-3</c:v>
                </c:pt>
                <c:pt idx="215">
                  <c:v>1.1704874999999997E-3</c:v>
                </c:pt>
                <c:pt idx="216">
                  <c:v>3.2606437499999997E-3</c:v>
                </c:pt>
                <c:pt idx="217">
                  <c:v>2.1737624999999998E-3</c:v>
                </c:pt>
                <c:pt idx="218">
                  <c:v>1.7557312499999998E-3</c:v>
                </c:pt>
                <c:pt idx="219">
                  <c:v>1.1704874999999997E-3</c:v>
                </c:pt>
                <c:pt idx="220">
                  <c:v>1.7557312499999998E-3</c:v>
                </c:pt>
                <c:pt idx="221">
                  <c:v>1.1704874999999997E-3</c:v>
                </c:pt>
                <c:pt idx="222">
                  <c:v>9.4539374999999949E-4</c:v>
                </c:pt>
                <c:pt idx="223">
                  <c:v>6.3026249999999988E-4</c:v>
                </c:pt>
                <c:pt idx="224">
                  <c:v>3.7486312500000013E-3</c:v>
                </c:pt>
                <c:pt idx="225">
                  <c:v>2.4990875000000007E-3</c:v>
                </c:pt>
                <c:pt idx="226">
                  <c:v>2.0184937500000006E-3</c:v>
                </c:pt>
                <c:pt idx="227">
                  <c:v>1.3456625000000002E-3</c:v>
                </c:pt>
                <c:pt idx="228">
                  <c:v>2.0184937500000001E-3</c:v>
                </c:pt>
                <c:pt idx="229">
                  <c:v>1.3456625E-3</c:v>
                </c:pt>
                <c:pt idx="230">
                  <c:v>1.0868812499999999E-3</c:v>
                </c:pt>
                <c:pt idx="231">
                  <c:v>7.2458750000000001E-4</c:v>
                </c:pt>
                <c:pt idx="232">
                  <c:v>2.0184937499999997E-3</c:v>
                </c:pt>
                <c:pt idx="233">
                  <c:v>1.3456624999999998E-3</c:v>
                </c:pt>
                <c:pt idx="234">
                  <c:v>1.0868812499999997E-3</c:v>
                </c:pt>
                <c:pt idx="235">
                  <c:v>7.2458750000000001E-4</c:v>
                </c:pt>
                <c:pt idx="236">
                  <c:v>1.0868812499999999E-3</c:v>
                </c:pt>
                <c:pt idx="237">
                  <c:v>7.2458750000000001E-4</c:v>
                </c:pt>
                <c:pt idx="238">
                  <c:v>5.8524374999999987E-4</c:v>
                </c:pt>
                <c:pt idx="239">
                  <c:v>3.9016249999999995E-4</c:v>
                </c:pt>
                <c:pt idx="240">
                  <c:v>2.0184937499999997E-3</c:v>
                </c:pt>
                <c:pt idx="241">
                  <c:v>1.3456624999999998E-3</c:v>
                </c:pt>
                <c:pt idx="242">
                  <c:v>1.0868812499999997E-3</c:v>
                </c:pt>
                <c:pt idx="243">
                  <c:v>7.2458750000000001E-4</c:v>
                </c:pt>
                <c:pt idx="244">
                  <c:v>1.0868812499999999E-3</c:v>
                </c:pt>
                <c:pt idx="245">
                  <c:v>7.2458750000000001E-4</c:v>
                </c:pt>
                <c:pt idx="246">
                  <c:v>5.8524374999999987E-4</c:v>
                </c:pt>
                <c:pt idx="247">
                  <c:v>3.9016249999999995E-4</c:v>
                </c:pt>
                <c:pt idx="248">
                  <c:v>1.0868812499999999E-3</c:v>
                </c:pt>
                <c:pt idx="249">
                  <c:v>7.2458750000000001E-4</c:v>
                </c:pt>
                <c:pt idx="250">
                  <c:v>5.8524374999999987E-4</c:v>
                </c:pt>
                <c:pt idx="251">
                  <c:v>3.9016249999999995E-4</c:v>
                </c:pt>
                <c:pt idx="252">
                  <c:v>5.8524374999999987E-4</c:v>
                </c:pt>
                <c:pt idx="253">
                  <c:v>3.9016249999999995E-4</c:v>
                </c:pt>
                <c:pt idx="254">
                  <c:v>3.1513124999999988E-4</c:v>
                </c:pt>
                <c:pt idx="255">
                  <c:v>2.1008749999999995E-4</c:v>
                </c:pt>
              </c:numCache>
            </c:numRef>
          </c:yVal>
          <c:smooth val="0"/>
          <c:extLst>
            <c:ext xmlns:c16="http://schemas.microsoft.com/office/drawing/2014/chart" uri="{C3380CC4-5D6E-409C-BE32-E72D297353CC}">
              <c16:uniqueId val="{00000000-F736-42EF-BF52-804C192FC944}"/>
            </c:ext>
          </c:extLst>
        </c:ser>
        <c:dLbls>
          <c:showLegendKey val="0"/>
          <c:showVal val="0"/>
          <c:showCatName val="0"/>
          <c:showSerName val="0"/>
          <c:showPercent val="0"/>
          <c:showBubbleSize val="0"/>
        </c:dLbls>
        <c:axId val="194312823"/>
        <c:axId val="194309215"/>
      </c:scatterChart>
      <c:valAx>
        <c:axId val="1943128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09215"/>
        <c:crosses val="autoZero"/>
        <c:crossBetween val="midCat"/>
      </c:valAx>
      <c:valAx>
        <c:axId val="194309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128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backend!$AN$2:$AN$33</c:f>
              <c:numCache>
                <c:formatCode>0.00</c:formatCode>
                <c:ptCount val="32"/>
                <c:pt idx="0">
                  <c:v>2.5860640779808097</c:v>
                </c:pt>
                <c:pt idx="1">
                  <c:v>2.1454517809456193</c:v>
                </c:pt>
                <c:pt idx="2">
                  <c:v>2.3505147447694954</c:v>
                </c:pt>
                <c:pt idx="3">
                  <c:v>1.909902447734305</c:v>
                </c:pt>
                <c:pt idx="4">
                  <c:v>2.4348697499600149</c:v>
                </c:pt>
                <c:pt idx="5">
                  <c:v>1.9942574529248245</c:v>
                </c:pt>
                <c:pt idx="6">
                  <c:v>2.1993204167487006</c:v>
                </c:pt>
                <c:pt idx="7">
                  <c:v>1.7587081197135104</c:v>
                </c:pt>
                <c:pt idx="8">
                  <c:v>2.3682005428439092</c:v>
                </c:pt>
                <c:pt idx="9">
                  <c:v>1.9275882458087186</c:v>
                </c:pt>
                <c:pt idx="10">
                  <c:v>2.1326512096325949</c:v>
                </c:pt>
                <c:pt idx="11">
                  <c:v>1.6920389125974045</c:v>
                </c:pt>
                <c:pt idx="12">
                  <c:v>2.217006214823114</c:v>
                </c:pt>
                <c:pt idx="13">
                  <c:v>1.7763939177879238</c:v>
                </c:pt>
                <c:pt idx="14">
                  <c:v>1.9814568816118001</c:v>
                </c:pt>
                <c:pt idx="15">
                  <c:v>1.5408445845766094</c:v>
                </c:pt>
                <c:pt idx="16">
                  <c:v>2.0263932960878059</c:v>
                </c:pt>
                <c:pt idx="17">
                  <c:v>1.5857809990526153</c:v>
                </c:pt>
                <c:pt idx="18">
                  <c:v>1.7908439628764916</c:v>
                </c:pt>
                <c:pt idx="19">
                  <c:v>1.3502316658413012</c:v>
                </c:pt>
                <c:pt idx="20">
                  <c:v>1.8751989680670107</c:v>
                </c:pt>
                <c:pt idx="21">
                  <c:v>1.4345866710318202</c:v>
                </c:pt>
                <c:pt idx="22">
                  <c:v>1.6396496348556966</c:v>
                </c:pt>
                <c:pt idx="23">
                  <c:v>1.1990373378205059</c:v>
                </c:pt>
                <c:pt idx="24">
                  <c:v>1.8085297609509052</c:v>
                </c:pt>
                <c:pt idx="25">
                  <c:v>1.3679174639157143</c:v>
                </c:pt>
                <c:pt idx="26">
                  <c:v>1.5729804277395909</c:v>
                </c:pt>
                <c:pt idx="27">
                  <c:v>1.1323681307044</c:v>
                </c:pt>
                <c:pt idx="28">
                  <c:v>1.6573354329301102</c:v>
                </c:pt>
                <c:pt idx="29">
                  <c:v>1.2167231358949195</c:v>
                </c:pt>
                <c:pt idx="30">
                  <c:v>1.4217860997187961</c:v>
                </c:pt>
                <c:pt idx="31">
                  <c:v>0.98117380268360543</c:v>
                </c:pt>
              </c:numCache>
            </c:numRef>
          </c:xVal>
          <c:yVal>
            <c:numRef>
              <c:f>backend!#REF!</c:f>
              <c:numCache>
                <c:formatCode>General</c:formatCode>
                <c:ptCount val="1"/>
                <c:pt idx="0">
                  <c:v>1</c:v>
                </c:pt>
              </c:numCache>
            </c:numRef>
          </c:yVal>
          <c:smooth val="0"/>
          <c:extLst>
            <c:ext xmlns:c16="http://schemas.microsoft.com/office/drawing/2014/chart" uri="{C3380CC4-5D6E-409C-BE32-E72D297353CC}">
              <c16:uniqueId val="{00000000-4A26-41F4-9F7A-F04CCEBD738F}"/>
            </c:ext>
          </c:extLst>
        </c:ser>
        <c:dLbls>
          <c:showLegendKey val="0"/>
          <c:showVal val="0"/>
          <c:showCatName val="0"/>
          <c:showSerName val="0"/>
          <c:showPercent val="0"/>
          <c:showBubbleSize val="0"/>
        </c:dLbls>
        <c:axId val="132134063"/>
        <c:axId val="132125207"/>
      </c:scatterChart>
      <c:valAx>
        <c:axId val="132134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25207"/>
        <c:crosses val="autoZero"/>
        <c:crossBetween val="midCat"/>
      </c:valAx>
      <c:valAx>
        <c:axId val="132125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34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859304D-F39C-408F-B885-CCD9F07E0876}">
  <sheetPr codeName="Chart2"/>
  <sheetViews>
    <sheetView zoomScale="81"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30</xdr:row>
          <xdr:rowOff>15240</xdr:rowOff>
        </xdr:from>
        <xdr:to>
          <xdr:col>4</xdr:col>
          <xdr:colOff>45720</xdr:colOff>
          <xdr:row>33</xdr:row>
          <xdr:rowOff>0</xdr:rowOff>
        </xdr:to>
        <xdr:sp macro="" textlink="">
          <xdr:nvSpPr>
            <xdr:cNvPr id="8058" name="Button 4986" hidden="1">
              <a:extLst>
                <a:ext uri="{63B3BB69-23CF-44E3-9099-C40C66FF867C}">
                  <a14:compatExt spid="_x0000_s8058"/>
                </a:ext>
                <a:ext uri="{FF2B5EF4-FFF2-40B4-BE49-F238E27FC236}">
                  <a16:creationId xmlns:a16="http://schemas.microsoft.com/office/drawing/2014/main" id="{00000000-0008-0000-0000-00007A1F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26</xdr:row>
          <xdr:rowOff>30480</xdr:rowOff>
        </xdr:from>
        <xdr:to>
          <xdr:col>4</xdr:col>
          <xdr:colOff>45720</xdr:colOff>
          <xdr:row>29</xdr:row>
          <xdr:rowOff>22860</xdr:rowOff>
        </xdr:to>
        <xdr:sp macro="" textlink="">
          <xdr:nvSpPr>
            <xdr:cNvPr id="8059" name="Button 4987" hidden="1">
              <a:extLst>
                <a:ext uri="{63B3BB69-23CF-44E3-9099-C40C66FF867C}">
                  <a14:compatExt spid="_x0000_s8059"/>
                </a:ext>
                <a:ext uri="{FF2B5EF4-FFF2-40B4-BE49-F238E27FC236}">
                  <a16:creationId xmlns:a16="http://schemas.microsoft.com/office/drawing/2014/main" id="{00000000-0008-0000-0000-00007B1F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Reset Weights</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2569028" y="185057"/>
          <a:ext cx="1317171" cy="58782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2</xdr:col>
      <xdr:colOff>446313</xdr:colOff>
      <xdr:row>0</xdr:row>
      <xdr:rowOff>97971</xdr:rowOff>
    </xdr:from>
    <xdr:to>
      <xdr:col>4</xdr:col>
      <xdr:colOff>272143</xdr:colOff>
      <xdr:row>0</xdr:row>
      <xdr:rowOff>783771</xdr:rowOff>
    </xdr:to>
    <xdr:sp macro="" textlink="">
      <xdr:nvSpPr>
        <xdr:cNvPr id="15" name="Speech Bubble: Rectangle 14">
          <a:extLst>
            <a:ext uri="{FF2B5EF4-FFF2-40B4-BE49-F238E27FC236}">
              <a16:creationId xmlns:a16="http://schemas.microsoft.com/office/drawing/2014/main" id="{00000000-0008-0000-0000-00000F000000}"/>
            </a:ext>
          </a:extLst>
        </xdr:cNvPr>
        <xdr:cNvSpPr/>
      </xdr:nvSpPr>
      <xdr:spPr>
        <a:xfrm>
          <a:off x="4539342" y="97971"/>
          <a:ext cx="1709058"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xdr:from>
      <xdr:col>5</xdr:col>
      <xdr:colOff>97969</xdr:colOff>
      <xdr:row>15</xdr:row>
      <xdr:rowOff>54428</xdr:rowOff>
    </xdr:from>
    <xdr:to>
      <xdr:col>7</xdr:col>
      <xdr:colOff>141513</xdr:colOff>
      <xdr:row>23</xdr:row>
      <xdr:rowOff>141512</xdr:rowOff>
    </xdr:to>
    <xdr:sp macro="" textlink="">
      <xdr:nvSpPr>
        <xdr:cNvPr id="16" name="Speech Bubble: Rectangle 15">
          <a:extLst>
            <a:ext uri="{FF2B5EF4-FFF2-40B4-BE49-F238E27FC236}">
              <a16:creationId xmlns:a16="http://schemas.microsoft.com/office/drawing/2014/main" id="{00000000-0008-0000-0000-000010000000}"/>
            </a:ext>
          </a:extLst>
        </xdr:cNvPr>
        <xdr:cNvSpPr/>
      </xdr:nvSpPr>
      <xdr:spPr>
        <a:xfrm>
          <a:off x="7347855" y="3853542"/>
          <a:ext cx="2002972" cy="1393370"/>
        </a:xfrm>
        <a:prstGeom prst="wedgeRectCallout">
          <a:avLst>
            <a:gd name="adj1" fmla="val -207871"/>
            <a:gd name="adj2" fmla="val -583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the exposure of to loss from any position. Try out different values. A value of zero will mean you only want to maximize portfolio growth</a:t>
          </a:r>
          <a:endParaRPr lang="fr-CA" sz="900"/>
        </a:p>
      </xdr:txBody>
    </xdr:sp>
    <xdr:clientData/>
  </xdr:twoCellAnchor>
  <xdr:twoCellAnchor>
    <xdr:from>
      <xdr:col>2</xdr:col>
      <xdr:colOff>707570</xdr:colOff>
      <xdr:row>9</xdr:row>
      <xdr:rowOff>76199</xdr:rowOff>
    </xdr:from>
    <xdr:to>
      <xdr:col>5</xdr:col>
      <xdr:colOff>217714</xdr:colOff>
      <xdr:row>14</xdr:row>
      <xdr:rowOff>119743</xdr:rowOff>
    </xdr:to>
    <xdr:sp macro="" textlink="">
      <xdr:nvSpPr>
        <xdr:cNvPr id="17" name="Speech Bubble: Rectangle 16">
          <a:extLst>
            <a:ext uri="{FF2B5EF4-FFF2-40B4-BE49-F238E27FC236}">
              <a16:creationId xmlns:a16="http://schemas.microsoft.com/office/drawing/2014/main" id="{00000000-0008-0000-0000-000011000000}"/>
            </a:ext>
          </a:extLst>
        </xdr:cNvPr>
        <xdr:cNvSpPr/>
      </xdr:nvSpPr>
      <xdr:spPr>
        <a:xfrm>
          <a:off x="4800599" y="2634342"/>
          <a:ext cx="2667001" cy="859972"/>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5</xdr:col>
      <xdr:colOff>-1</xdr:colOff>
      <xdr:row>26</xdr:row>
      <xdr:rowOff>21773</xdr:rowOff>
    </xdr:from>
    <xdr:to>
      <xdr:col>7</xdr:col>
      <xdr:colOff>43543</xdr:colOff>
      <xdr:row>30</xdr:row>
      <xdr:rowOff>43545</xdr:rowOff>
    </xdr:to>
    <xdr:sp macro="" textlink="">
      <xdr:nvSpPr>
        <xdr:cNvPr id="18" name="Speech Bubble: Rectangle 17">
          <a:extLst>
            <a:ext uri="{FF2B5EF4-FFF2-40B4-BE49-F238E27FC236}">
              <a16:creationId xmlns:a16="http://schemas.microsoft.com/office/drawing/2014/main" id="{00000000-0008-0000-0000-000012000000}"/>
            </a:ext>
          </a:extLst>
        </xdr:cNvPr>
        <xdr:cNvSpPr/>
      </xdr:nvSpPr>
      <xdr:spPr>
        <a:xfrm>
          <a:off x="7249885" y="5192487"/>
          <a:ext cx="2002972" cy="674915"/>
        </a:xfrm>
        <a:prstGeom prst="wedgeRectCallout">
          <a:avLst>
            <a:gd name="adj1" fmla="val -105696"/>
            <a:gd name="adj2" fmla="val -246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Initialize</a:t>
          </a:r>
        </a:p>
        <a:p>
          <a:pPr algn="l"/>
          <a:r>
            <a:rPr lang="fr-CA" sz="900"/>
            <a:t>reset all the portfolio</a:t>
          </a:r>
          <a:r>
            <a:rPr lang="fr-CA" sz="900" baseline="0"/>
            <a:t> weights to equal weighting.</a:t>
          </a:r>
          <a:endParaRPr lang="fr-CA" sz="900"/>
        </a:p>
      </xdr:txBody>
    </xdr:sp>
    <xdr:clientData/>
  </xdr:twoCellAnchor>
  <xdr:twoCellAnchor>
    <xdr:from>
      <xdr:col>5</xdr:col>
      <xdr:colOff>21770</xdr:colOff>
      <xdr:row>31</xdr:row>
      <xdr:rowOff>43544</xdr:rowOff>
    </xdr:from>
    <xdr:to>
      <xdr:col>7</xdr:col>
      <xdr:colOff>65314</xdr:colOff>
      <xdr:row>36</xdr:row>
      <xdr:rowOff>87085</xdr:rowOff>
    </xdr:to>
    <xdr:sp macro="" textlink="">
      <xdr:nvSpPr>
        <xdr:cNvPr id="19" name="Speech Bubble: Rectangle 18">
          <a:extLst>
            <a:ext uri="{FF2B5EF4-FFF2-40B4-BE49-F238E27FC236}">
              <a16:creationId xmlns:a16="http://schemas.microsoft.com/office/drawing/2014/main" id="{00000000-0008-0000-0000-000013000000}"/>
            </a:ext>
          </a:extLst>
        </xdr:cNvPr>
        <xdr:cNvSpPr/>
      </xdr:nvSpPr>
      <xdr:spPr>
        <a:xfrm>
          <a:off x="7271656" y="5867401"/>
          <a:ext cx="2002972" cy="859970"/>
        </a:xfrm>
        <a:prstGeom prst="wedgeRectCallout">
          <a:avLst>
            <a:gd name="adj1" fmla="val -104066"/>
            <a:gd name="adj2" fmla="val -311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5: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21</xdr:row>
      <xdr:rowOff>21773</xdr:rowOff>
    </xdr:from>
    <xdr:to>
      <xdr:col>4</xdr:col>
      <xdr:colOff>1251855</xdr:colOff>
      <xdr:row>25</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3603171" y="4800602"/>
          <a:ext cx="3624941" cy="631369"/>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7</xdr:col>
      <xdr:colOff>511629</xdr:colOff>
      <xdr:row>10</xdr:row>
      <xdr:rowOff>32657</xdr:rowOff>
    </xdr:from>
    <xdr:to>
      <xdr:col>12</xdr:col>
      <xdr:colOff>0</xdr:colOff>
      <xdr:row>27</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654815" cy="6274741"/>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46</xdr:col>
      <xdr:colOff>43543</xdr:colOff>
      <xdr:row>0</xdr:row>
      <xdr:rowOff>108858</xdr:rowOff>
    </xdr:from>
    <xdr:to>
      <xdr:col>53</xdr:col>
      <xdr:colOff>348343</xdr:colOff>
      <xdr:row>17</xdr:row>
      <xdr:rowOff>76201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4">
  <rv s="0">
    <v>https://www.bing.com/financeapi/forcetrigger?t=a23yk2&amp;q=XNAS%3aFRG&amp;form=skydnc</v>
    <v>Learn more on Bing</v>
  </rv>
  <rv s="1">
    <v>fr-FR</v>
    <v>a23yk2</v>
    <v>268435456</v>
    <v>1</v>
    <v>Avec Refinitiv</v>
    <v>0</v>
    <v>1</v>
    <v>Franchise Group (XNAS:FRG)</v>
    <v>3</v>
    <v>4</v>
    <v>Finance</v>
    <v>5</v>
    <v>XNAS</v>
    <v>40361910</v>
    <v>2010</v>
    <v>36.01</v>
    <v>29.66</v>
    <v>1.5831</v>
    <v>1471191619</v>
    <v>Nasdaq Stock Market</v>
    <v>37.4</v>
    <v>FRG</v>
    <v>44799.772434860941</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37.81</v>
    <v>55.1</v>
    <v>Specialty Retailers</v>
    <v>0</v>
    <v>-2.5400999999999996E-2</v>
    <v>-0.95</v>
    <v>Franchise Group</v>
    <v>Franchise Group</v>
    <v>37.700000000000003</v>
    <v>6.4821999999999997</v>
    <v>36.450000000000003</v>
    <v>109 INNOVATION COURT, SUITE J, DELAWARE, OH, 43015 US</v>
    <v>Bourse</v>
    <v>Franchise Group (XNAS:FRG)</v>
    <v>180283</v>
    <v>414729</v>
  </rv>
  <rv s="2">
    <v>1</v>
  </rv>
  <rv s="0">
    <v>https://www.bing.com/financeapi/forcetrigger?t=a1nvvh&amp;q=XNYS%3aATKR&amp;form=skydnc</v>
    <v>Learn more on Bing</v>
  </rv>
  <rv s="1">
    <v>fr-FR</v>
    <v>a1nvvh</v>
    <v>268435456</v>
    <v>1</v>
    <v>Avec Refinitiv</v>
    <v>0</v>
    <v>1</v>
    <v>Atkore (XNYS:ATKR)</v>
    <v>3</v>
    <v>4</v>
    <v>Finance</v>
    <v>5</v>
    <v>XNYS</v>
    <v>41320870</v>
    <v>2010</v>
    <v>88.4</v>
    <v>80.045000000000002</v>
    <v>2.2425000000000002</v>
    <v>3673425343</v>
    <v>New York Stock Exchange</v>
    <v>91</v>
    <v>ATKR</v>
    <v>44799.772612198438</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91.44</v>
    <v>123.53</v>
    <v>Machinery, Equipment &amp; Components</v>
    <v>3</v>
    <v>-2.3077E-2</v>
    <v>-2.1</v>
    <v>Atkore</v>
    <v>Atkore</v>
    <v>90.92</v>
    <v>4.6490999999999998</v>
    <v>88.9</v>
    <v>16100 SOUTH LATHROP AVENUE, HARVEY, IL, 60426 US</v>
    <v>Bourse</v>
    <v>Atkore (XNYS:ATKR)</v>
    <v>239267</v>
    <v>382045</v>
  </rv>
  <rv s="2">
    <v>4</v>
  </rv>
  <rv s="0">
    <v>https://www.bing.com/financeapi/forcetrigger?t=a1s5jc&amp;q=XNYS%3aVTOL&amp;form=skydnc</v>
    <v>Learn more on Bing</v>
  </rv>
  <rv s="1">
    <v>fr-FR</v>
    <v>a1s5jc</v>
    <v>268435456</v>
    <v>1</v>
    <v>Avec Refinitiv</v>
    <v>0</v>
    <v>1</v>
    <v>Bristow Group (XNYS:VTOL)</v>
    <v>3</v>
    <v>4</v>
    <v>Finance</v>
    <v>5</v>
    <v>XNYS</v>
    <v>27936160</v>
    <v>1999</v>
    <v>28.7</v>
    <v>21.61</v>
    <v>1.4149</v>
    <v>810847044</v>
    <v>New York Stock Exchange</v>
    <v>30.03</v>
    <v>VTOL</v>
    <v>44799.770769409377</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29.59</v>
    <v>40.1</v>
    <v>Passenger Transportation Services</v>
    <v>6</v>
    <v>-3.3466999999999997E-2</v>
    <v>-1.0049999999999999</v>
    <v>Bristow Group</v>
    <v>Bristow Group</v>
    <v>29.4</v>
    <v>375.75080000000003</v>
    <v>29.024999999999999</v>
    <v>3151 Briarpark Drive, Suite 700, HOUSTON, TX, 77042 US</v>
    <v>Bourse</v>
    <v>Bristow Group (XNYS:VTOL)</v>
    <v>27953</v>
    <v>66563</v>
  </rv>
  <rv s="2">
    <v>7</v>
  </rv>
  <rv s="0">
    <v>https://www.bing.com/financeapi/forcetrigger?t=a1wwsm&amp;q=XNAS%3aLILAK&amp;form=skydnc</v>
    <v>Learn more on Bing</v>
  </rv>
  <rv s="3">
    <v>fr-FR</v>
    <v>a1wwsm</v>
    <v>268435456</v>
    <v>1</v>
    <v>Avec Refinitiv</v>
    <v>6</v>
    <v>7</v>
    <v>Liberty Latin (XNAS:LILAK)</v>
    <v>3</v>
    <v>8</v>
    <v>Finance</v>
    <v>5</v>
    <v>XNAS</v>
    <v>221477400</v>
    <v>2017</v>
    <v>7</v>
    <v>6.76</v>
    <v>1.2192000000000001</v>
    <v>1609537000</v>
    <v>Nasdaq Stock Market</v>
    <v>7.24</v>
    <v>LILAK</v>
    <v>44799.772375971872</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7.3</v>
    <v>14.94</v>
    <v>Telecommunications Services</v>
    <v>9</v>
    <v>-2.7623999999999999E-2</v>
    <v>-0.2</v>
    <v>Liberty Latin</v>
    <v>Liberty Latin</v>
    <v>7.22</v>
    <v>7.04</v>
    <v>1550 Wewatta Street, Suite 710, DENVER, CO, 80202 US</v>
    <v>Bourse</v>
    <v>Liberty Latin (XNAS:LILAK)</v>
    <v>401971</v>
    <v>938050</v>
  </rv>
  <rv s="2">
    <v>10</v>
  </rv>
  <rv s="0">
    <v>https://www.bing.com/financeapi/forcetrigger?t=a1r32w&amp;q=XNAS%3aWBD&amp;form=skydnc</v>
    <v>Learn more on Bing</v>
  </rv>
  <rv s="1">
    <v>fr-FR</v>
    <v>a1r32w</v>
    <v>268435456</v>
    <v>1</v>
    <v>Avec Refinitiv</v>
    <v>0</v>
    <v>1</v>
    <v>WARNER BROS. DISCOVERY, INC. (XNAS:WBD)</v>
    <v>3</v>
    <v>4</v>
    <v>Finance</v>
    <v>5</v>
    <v>XNAS</v>
    <v>2427593000</v>
    <v>2008</v>
    <v>13.180999999999999</v>
    <v>12.69</v>
    <v>1.349</v>
    <v>32165607250</v>
    <v>Nasdaq Stock Market</v>
    <v>13.56</v>
    <v>WBD</v>
    <v>44799.772564108593</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14.02</v>
    <v>31.55</v>
    <v>Media &amp; Publishing</v>
    <v>12</v>
    <v>-2.2860999999999999E-2</v>
    <v>-0.31</v>
    <v>WARNER BROS. DISCOVERY, INC.</v>
    <v>WARNER BROS. DISCOVERY, INC.</v>
    <v>13.56</v>
    <v>7.2262000000000004</v>
    <v>13.25</v>
    <v>230 PARK AVENUE SOUTH, NEW YORK, NY, 10003 US</v>
    <v>Bourse</v>
    <v>WARNER BROS. DISCOVERY, INC. (XNAS:WBD)</v>
    <v>19169334</v>
    <v>27854872</v>
  </rv>
  <rv s="2">
    <v>13</v>
  </rv>
  <rv s="0">
    <v>https://www.bing.com/financeapi/forcetrigger?t=a1yyec&amp;q=XNAS%3aNXST&amp;form=skydnc</v>
    <v>Learn more on Bing</v>
  </rv>
  <rv s="1">
    <v>fr-FR</v>
    <v>a1yyec</v>
    <v>268435456</v>
    <v>1</v>
    <v>Avec Refinitiv</v>
    <v>0</v>
    <v>1</v>
    <v>Nexstar Media (XNAS:NXST)</v>
    <v>3</v>
    <v>4</v>
    <v>Finance</v>
    <v>5</v>
    <v>XNAS</v>
    <v>38793920</v>
    <v>2001</v>
    <v>192.21</v>
    <v>139.68799999999999</v>
    <v>1.4902</v>
    <v>7486450681</v>
    <v>Nasdaq Stock Market</v>
    <v>194.91</v>
    <v>NXST</v>
    <v>44799.772622835153</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194.92500000000001</v>
    <v>204.62</v>
    <v>Media &amp; Publishing</v>
    <v>15</v>
    <v>-9.9019999999999993E-3</v>
    <v>-1.93</v>
    <v>Nexstar Media</v>
    <v>Nexstar Media</v>
    <v>194.84</v>
    <v>9.0067000000000004</v>
    <v>192.98</v>
    <v>545 E John Carpenter Fwy Ste 700, IRVING, TX, 75062-3932 US</v>
    <v>Bourse</v>
    <v>Nexstar Media (XNAS:NXST)</v>
    <v>92440</v>
    <v>277622</v>
  </rv>
  <rv s="2">
    <v>16</v>
  </rv>
  <rv s="0">
    <v>https://www.bing.com/financeapi/forcetrigger?t=a1vhzr&amp;q=XNAS%3aHROW&amp;form=skydnc</v>
    <v>Learn more on Bing</v>
  </rv>
  <rv s="1">
    <v>fr-FR</v>
    <v>a1vhzr</v>
    <v>268435456</v>
    <v>1</v>
    <v>Avec Refinitiv</v>
    <v>0</v>
    <v>1</v>
    <v>HARROW HEALTH, INC. (XNAS:HROW)</v>
    <v>3</v>
    <v>4</v>
    <v>Finance</v>
    <v>5</v>
    <v>XNAS</v>
    <v>27069980</v>
    <v>2006</v>
    <v>8.93</v>
    <v>5.4</v>
    <v>0.74019999999999997</v>
    <v>247395254</v>
    <v>Nasdaq Stock Market</v>
    <v>9.64</v>
    <v>HROW</v>
    <v>44799.77185458281</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9.77</v>
    <v>12.99</v>
    <v>Pharmaceuticals</v>
    <v>18</v>
    <v>-5.1961000000000007E-2</v>
    <v>-0.50090000000000001</v>
    <v>HARROW HEALTH, INC.</v>
    <v>HARROW HEALTH, INC.</v>
    <v>9.77</v>
    <v>41.807299999999998</v>
    <v>9.1390999999999991</v>
    <v>102 WOODMONT BLVD, SUITE 610, NASHVILLE, TN, 37215 US</v>
    <v>Bourse</v>
    <v>HARROW HEALTH, INC. (XNAS:HROW)</v>
    <v>118246</v>
    <v>63674</v>
  </rv>
  <rv s="2">
    <v>19</v>
  </rv>
  <rv s="0">
    <v>https://www.bing.com/financeapi/forcetrigger?t=bvdwyc&amp;q=OTCM%3aPHIG&amp;form=skydnc</v>
    <v>Learn more on Bing</v>
  </rv>
  <rv s="4">
    <v>fr-FR</v>
    <v>bvdwyc</v>
    <v>268435456</v>
    <v>1</v>
    <v>Avec Refinitiv</v>
    <v>9</v>
    <v>10</v>
    <v>PHI Group (OTCM:PHIG)</v>
    <v>3</v>
    <v>11</v>
    <v>Finance</v>
    <v>12</v>
    <v>OTCM</v>
    <v>12.75</v>
    <v>5</v>
    <v>OTC Markets</v>
    <v>12.75</v>
    <v>PHIG</v>
    <v>44799.006944444445</v>
    <v>USD</v>
    <v>OTCM</v>
    <v>12.75</v>
    <v>16.5</v>
    <v>21</v>
    <v>0</v>
    <v>0</v>
    <v>PHI Group</v>
    <v>PHI Group</v>
    <v>12.75</v>
    <v>12.75</v>
    <v>2001 Se Evangeline Thruway, LAFAYETTE, LA, 70508 US</v>
    <v>Bourse</v>
    <v>PHI Group (OTCM:PHIG)</v>
    <v>1000</v>
  </rv>
  <rv s="2">
    <v>22</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spbArrays>
  <spbData count="13">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En temps réel  Nasdaq Dernière vente</v>
      <v xml:space="preserve">depuis la clôture précédente </v>
      <v>Source: Nasdaq Dernière vente</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1">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rpv i="1">1</rpv>
    </rSty>
    <rSty dxfid="5">
      <rpv i="0">#,##0.00</rpv>
    </rSty>
    <rSty dxfid="4">
      <rpv i="0">#,##0</rpv>
    </rSty>
    <rSty dxfid="3"/>
    <rSty dxfid="0">
      <rpv i="0">0.00</rpv>
    </rSty>
    <rSty dxfid="6">
      <rpv i="0">0</rpv>
    </rSty>
    <rSty dxfid="1">
      <rpv i="0">_([$$-en-US]* #,##0_);_([$$-en-US]* (#,##0);_([$$-en-US]* "-"_);_(@_)</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0"/>
  <sheetViews>
    <sheetView tabSelected="1" zoomScale="70" zoomScaleNormal="70" workbookViewId="0">
      <selection activeCell="P17" sqref="P17"/>
    </sheetView>
  </sheetViews>
  <sheetFormatPr defaultRowHeight="13.2" x14ac:dyDescent="0.25"/>
  <cols>
    <col min="1" max="1" width="46.88671875" bestFit="1" customWidth="1"/>
    <col min="2" max="2" width="12.77734375" bestFit="1" customWidth="1"/>
    <col min="3" max="3" width="12.33203125" bestFit="1" customWidth="1"/>
    <col min="4" max="4" width="15" bestFit="1" customWidth="1"/>
    <col min="5" max="5" width="18.5546875" bestFit="1" customWidth="1"/>
    <col min="6" max="6" width="19.6640625" bestFit="1" customWidth="1"/>
    <col min="8" max="8" width="10.109375" customWidth="1"/>
    <col min="9" max="9" width="12.77734375" customWidth="1"/>
    <col min="10" max="10" width="20.88671875" customWidth="1"/>
    <col min="11" max="11" width="13.77734375" customWidth="1"/>
    <col min="12" max="12" width="16.33203125" customWidth="1"/>
  </cols>
  <sheetData>
    <row r="1" spans="1:12" s="4" customFormat="1" ht="98.4" customHeight="1" x14ac:dyDescent="0.25">
      <c r="A1" s="15" t="s">
        <v>1</v>
      </c>
      <c r="B1" s="15" t="s">
        <v>0</v>
      </c>
      <c r="C1" s="15" t="str">
        <f>CONCATENATE("Upside (",B12,"-yr)")</f>
        <v>Upside (2-yr)</v>
      </c>
      <c r="D1" s="15" t="s">
        <v>23</v>
      </c>
      <c r="E1" s="16" t="s">
        <v>26</v>
      </c>
      <c r="F1" s="16" t="s">
        <v>40</v>
      </c>
      <c r="G1" s="16" t="s">
        <v>24</v>
      </c>
      <c r="H1" s="16" t="s">
        <v>25</v>
      </c>
      <c r="I1" s="5" t="s">
        <v>30</v>
      </c>
      <c r="J1" s="6" t="s">
        <v>55</v>
      </c>
      <c r="K1" s="5" t="s">
        <v>54</v>
      </c>
      <c r="L1" s="5" t="s">
        <v>56</v>
      </c>
    </row>
    <row r="2" spans="1:12" ht="15.6" x14ac:dyDescent="0.3">
      <c r="A2" t="e" vm="1">
        <v>#VALUE!</v>
      </c>
      <c r="B2" s="10" cm="1">
        <f t="array" ref="B2">_FV(A2,"Prix")</f>
        <v>36.450000000000003</v>
      </c>
      <c r="C2" s="11">
        <v>150</v>
      </c>
      <c r="D2" s="12">
        <v>30</v>
      </c>
      <c r="E2" s="21">
        <v>0.65</v>
      </c>
      <c r="F2" s="14">
        <f>1-E2</f>
        <v>0.35</v>
      </c>
      <c r="G2" s="14">
        <f>(C2/B2)-1</f>
        <v>3.1152263374485596</v>
      </c>
      <c r="H2" s="14">
        <f>1-(D2/B2)</f>
        <v>0.17695473251028815</v>
      </c>
      <c r="I2" s="32">
        <v>0.17</v>
      </c>
      <c r="J2" s="27">
        <f t="shared" ref="J2:J9" si="0">(E2/H2-F2/G2)</f>
        <v>3.560904426899326</v>
      </c>
      <c r="K2" s="28">
        <f t="shared" ref="K2:K9" si="1">((1+J2*G2)^E2*(1-J2*H2)^F2)</f>
        <v>3.5683663097237797</v>
      </c>
      <c r="L2" s="28">
        <f t="shared" ref="L2:L9" si="2">((1+G2)^E2*(1-H2)^F2)</f>
        <v>2.3429025490747035</v>
      </c>
    </row>
    <row r="3" spans="1:12" ht="15.6" x14ac:dyDescent="0.3">
      <c r="A3" t="e" vm="2">
        <v>#VALUE!</v>
      </c>
      <c r="B3" s="10" cm="1">
        <f t="array" ref="B3">_FV(A3,"Prix")</f>
        <v>88.9</v>
      </c>
      <c r="C3" s="11">
        <v>250</v>
      </c>
      <c r="D3" s="12">
        <v>80</v>
      </c>
      <c r="E3" s="21">
        <v>0.65</v>
      </c>
      <c r="F3" s="14">
        <f t="shared" ref="F3:F9" si="3">1-E3</f>
        <v>0.35</v>
      </c>
      <c r="G3" s="14">
        <f t="shared" ref="G3:G9" si="4">(C3/B3)-1</f>
        <v>1.8121484814398197</v>
      </c>
      <c r="H3" s="14">
        <f t="shared" ref="H3:H9" si="5">1-(D3/B3)</f>
        <v>0.1001124859392577</v>
      </c>
      <c r="I3" s="32">
        <v>0.11392981337453223</v>
      </c>
      <c r="J3" s="27">
        <f t="shared" si="0"/>
        <v>6.2995557229440786</v>
      </c>
      <c r="K3" s="28">
        <f t="shared" si="1"/>
        <v>3.6281018913399254</v>
      </c>
      <c r="L3" s="28">
        <f t="shared" si="2"/>
        <v>1.8872991317752066</v>
      </c>
    </row>
    <row r="4" spans="1:12" ht="15.6" x14ac:dyDescent="0.3">
      <c r="A4" t="e" vm="3">
        <v>#VALUE!</v>
      </c>
      <c r="B4" s="10" cm="1">
        <f t="array" ref="B4">_FV(A4,"Prix")</f>
        <v>29.024999999999999</v>
      </c>
      <c r="C4" s="11">
        <v>77</v>
      </c>
      <c r="D4" s="12">
        <v>26</v>
      </c>
      <c r="E4" s="21">
        <v>0.65</v>
      </c>
      <c r="F4" s="14">
        <f t="shared" si="3"/>
        <v>0.35</v>
      </c>
      <c r="G4" s="14">
        <f t="shared" si="4"/>
        <v>1.6528854435831182</v>
      </c>
      <c r="H4" s="14">
        <f t="shared" si="5"/>
        <v>0.10422049956933677</v>
      </c>
      <c r="I4" s="32">
        <v>8.604736021183472E-2</v>
      </c>
      <c r="J4" s="27">
        <f t="shared" si="0"/>
        <v>6.0250259475708345</v>
      </c>
      <c r="K4" s="28">
        <f t="shared" si="1"/>
        <v>3.3539835861076326</v>
      </c>
      <c r="L4" s="28">
        <f t="shared" si="2"/>
        <v>1.8142094079753088</v>
      </c>
    </row>
    <row r="5" spans="1:12" ht="15.6" x14ac:dyDescent="0.3">
      <c r="A5" t="e" vm="4">
        <v>#VALUE!</v>
      </c>
      <c r="B5" s="10" cm="1">
        <f t="array" ref="B5">_FV(A5,"Prix")</f>
        <v>7.04</v>
      </c>
      <c r="C5" s="11">
        <v>21</v>
      </c>
      <c r="D5" s="12">
        <v>5</v>
      </c>
      <c r="E5" s="21">
        <v>0.65</v>
      </c>
      <c r="F5" s="14">
        <f t="shared" si="3"/>
        <v>0.35</v>
      </c>
      <c r="G5" s="14">
        <f t="shared" si="4"/>
        <v>1.9829545454545454</v>
      </c>
      <c r="H5" s="14">
        <f t="shared" si="5"/>
        <v>0.28977272727272729</v>
      </c>
      <c r="I5" s="32">
        <v>0.10364170661297825</v>
      </c>
      <c r="J5" s="27">
        <f t="shared" si="0"/>
        <v>2.0666329569076916</v>
      </c>
      <c r="K5" s="28">
        <f t="shared" si="1"/>
        <v>2.0939580399759286</v>
      </c>
      <c r="L5" s="28">
        <f t="shared" si="2"/>
        <v>1.805133740865341</v>
      </c>
    </row>
    <row r="6" spans="1:12" ht="15.6" x14ac:dyDescent="0.3">
      <c r="A6" t="e" vm="5">
        <v>#VALUE!</v>
      </c>
      <c r="B6" s="10" cm="1">
        <f t="array" ref="B6">_FV(A6,"Prix")</f>
        <v>13.25</v>
      </c>
      <c r="C6" s="11">
        <v>50</v>
      </c>
      <c r="D6" s="12">
        <v>7</v>
      </c>
      <c r="E6" s="21">
        <v>0.6</v>
      </c>
      <c r="F6" s="14">
        <f t="shared" si="3"/>
        <v>0.4</v>
      </c>
      <c r="G6" s="14">
        <f t="shared" si="4"/>
        <v>2.7735849056603774</v>
      </c>
      <c r="H6" s="14">
        <f t="shared" si="5"/>
        <v>0.47169811320754718</v>
      </c>
      <c r="I6" s="32">
        <v>0.13577006827247154</v>
      </c>
      <c r="J6" s="27">
        <f t="shared" si="0"/>
        <v>1.1277823129251701</v>
      </c>
      <c r="K6" s="28">
        <f t="shared" si="1"/>
        <v>1.7280338860492259</v>
      </c>
      <c r="L6" s="28">
        <f t="shared" si="2"/>
        <v>1.7187208296466667</v>
      </c>
    </row>
    <row r="7" spans="1:12" ht="15.6" x14ac:dyDescent="0.3">
      <c r="A7" t="e" vm="6">
        <v>#VALUE!</v>
      </c>
      <c r="B7" s="10" cm="1">
        <f t="array" ref="B7">_FV(A7,"Prix")</f>
        <v>192.98</v>
      </c>
      <c r="C7" s="13">
        <v>500</v>
      </c>
      <c r="D7" s="13">
        <v>170</v>
      </c>
      <c r="E7" s="21">
        <v>0.75</v>
      </c>
      <c r="F7" s="14">
        <f t="shared" si="3"/>
        <v>0.25</v>
      </c>
      <c r="G7" s="14">
        <f t="shared" si="4"/>
        <v>1.5909420665353924</v>
      </c>
      <c r="H7" s="14">
        <f t="shared" si="5"/>
        <v>0.11907969737796653</v>
      </c>
      <c r="I7" s="32">
        <v>0.12554029335232916</v>
      </c>
      <c r="J7" s="27">
        <f t="shared" si="0"/>
        <v>6.1411632720366107</v>
      </c>
      <c r="K7" s="28">
        <f t="shared" si="1"/>
        <v>4.2804625770987084</v>
      </c>
      <c r="L7" s="28">
        <f t="shared" si="2"/>
        <v>1.978460716567416</v>
      </c>
    </row>
    <row r="8" spans="1:12" ht="15.6" x14ac:dyDescent="0.3">
      <c r="A8" t="e" vm="7">
        <v>#VALUE!</v>
      </c>
      <c r="B8" s="10" cm="1">
        <f t="array" ref="B8">_FV(A8,"Prix")</f>
        <v>9.1390999999999991</v>
      </c>
      <c r="C8" s="11">
        <v>50</v>
      </c>
      <c r="D8" s="13">
        <v>6</v>
      </c>
      <c r="E8" s="21">
        <v>0.6</v>
      </c>
      <c r="F8" s="14">
        <f t="shared" si="3"/>
        <v>0.4</v>
      </c>
      <c r="G8" s="14">
        <f t="shared" si="4"/>
        <v>4.4709982383385674</v>
      </c>
      <c r="H8" s="14">
        <f t="shared" si="5"/>
        <v>0.3434802113993719</v>
      </c>
      <c r="I8" s="32">
        <v>0.17</v>
      </c>
      <c r="J8" s="27">
        <f t="shared" si="0"/>
        <v>1.6573600440157308</v>
      </c>
      <c r="K8" s="28">
        <f t="shared" si="1"/>
        <v>2.5618940287098568</v>
      </c>
      <c r="L8" s="28">
        <f t="shared" si="2"/>
        <v>2.3428208120474925</v>
      </c>
    </row>
    <row r="9" spans="1:12" ht="15.6" x14ac:dyDescent="0.3">
      <c r="A9" t="e" vm="8">
        <v>#VALUE!</v>
      </c>
      <c r="B9" s="10" cm="1">
        <f t="array" ref="B9">_FV(A9,"Prix")</f>
        <v>12.75</v>
      </c>
      <c r="C9" s="13">
        <v>35</v>
      </c>
      <c r="D9" s="13">
        <v>11</v>
      </c>
      <c r="E9" s="21">
        <v>0.65</v>
      </c>
      <c r="F9" s="14">
        <f t="shared" si="3"/>
        <v>0.35</v>
      </c>
      <c r="G9" s="14">
        <f t="shared" si="4"/>
        <v>1.7450980392156863</v>
      </c>
      <c r="H9" s="14">
        <f t="shared" si="5"/>
        <v>0.13725490196078427</v>
      </c>
      <c r="I9" s="32">
        <v>9.5070758175853934E-2</v>
      </c>
      <c r="J9" s="27">
        <f t="shared" si="0"/>
        <v>4.5351524879614784</v>
      </c>
      <c r="K9" s="28">
        <f t="shared" si="1"/>
        <v>2.9477354342197377</v>
      </c>
      <c r="L9" s="28">
        <f t="shared" si="2"/>
        <v>1.830718135861314</v>
      </c>
    </row>
    <row r="10" spans="1:12" x14ac:dyDescent="0.25">
      <c r="I10" s="1"/>
      <c r="J10" s="1"/>
      <c r="K10" s="2"/>
      <c r="L10" s="9"/>
    </row>
    <row r="11" spans="1:12" x14ac:dyDescent="0.25">
      <c r="L11" s="9"/>
    </row>
    <row r="12" spans="1:12" x14ac:dyDescent="0.25">
      <c r="A12" s="7" t="s">
        <v>51</v>
      </c>
      <c r="B12" s="13">
        <v>2</v>
      </c>
      <c r="L12" s="9"/>
    </row>
    <row r="13" spans="1:12" x14ac:dyDescent="0.25">
      <c r="A13" s="7" t="s">
        <v>60</v>
      </c>
      <c r="B13" s="25">
        <f>backend!AQ258</f>
        <v>2.4891607410257319</v>
      </c>
      <c r="G13" s="23"/>
      <c r="L13" s="9"/>
    </row>
    <row r="14" spans="1:12" x14ac:dyDescent="0.25">
      <c r="A14" s="7" t="s">
        <v>62</v>
      </c>
      <c r="B14" s="25">
        <f>backend!AR258</f>
        <v>-8.5449087158096959E-2</v>
      </c>
      <c r="G14" s="23"/>
      <c r="L14" s="9"/>
    </row>
    <row r="15" spans="1:12" x14ac:dyDescent="0.25">
      <c r="A15" s="7" t="s">
        <v>61</v>
      </c>
      <c r="B15" s="12">
        <v>1</v>
      </c>
      <c r="G15" s="23"/>
      <c r="L15" s="9"/>
    </row>
    <row r="16" spans="1:12" ht="15.6" x14ac:dyDescent="0.35">
      <c r="A16" s="7" t="s">
        <v>63</v>
      </c>
      <c r="B16" s="14">
        <f>B13+B15*(B14)-0.1*_xlfn.STDEV.P(I2:I9)/(AVERAGE(I2:I9))</f>
        <v>2.3797816230637037</v>
      </c>
      <c r="G16" s="23"/>
      <c r="L16" s="9"/>
    </row>
    <row r="17" spans="1:12" x14ac:dyDescent="0.25">
      <c r="A17" s="7" t="s">
        <v>53</v>
      </c>
      <c r="B17" s="33">
        <v>1</v>
      </c>
      <c r="G17" s="23"/>
      <c r="L17" s="9"/>
    </row>
    <row r="18" spans="1:12" x14ac:dyDescent="0.25">
      <c r="A18" s="7" t="s">
        <v>59</v>
      </c>
      <c r="B18" s="31">
        <v>0.17</v>
      </c>
      <c r="G18" s="23"/>
      <c r="L18" s="9"/>
    </row>
    <row r="19" spans="1:12" x14ac:dyDescent="0.25">
      <c r="A19" s="7" t="s">
        <v>50</v>
      </c>
      <c r="B19" s="22">
        <f>SUM(I2:I9)</f>
        <v>1</v>
      </c>
      <c r="H19" s="24"/>
      <c r="L19" s="9"/>
    </row>
    <row r="20" spans="1:12" x14ac:dyDescent="0.25">
      <c r="J20" s="3"/>
    </row>
    <row r="36" spans="1:2" x14ac:dyDescent="0.25">
      <c r="A36" s="17"/>
      <c r="B36" s="19" t="s">
        <v>27</v>
      </c>
    </row>
    <row r="37" spans="1:2" x14ac:dyDescent="0.25">
      <c r="A37" s="13"/>
      <c r="B37" s="19" t="s">
        <v>28</v>
      </c>
    </row>
    <row r="38" spans="1:2" x14ac:dyDescent="0.25">
      <c r="A38" s="18"/>
      <c r="B38" s="19" t="s">
        <v>29</v>
      </c>
    </row>
    <row r="39" spans="1:2" x14ac:dyDescent="0.25">
      <c r="A39" s="20"/>
      <c r="B39" s="19" t="s">
        <v>57</v>
      </c>
    </row>
    <row r="40" spans="1:2" x14ac:dyDescent="0.25">
      <c r="A40" s="29"/>
      <c r="B40" s="30" t="s">
        <v>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58" r:id="rId4" name="Button 4986">
              <controlPr defaultSize="0" print="0" autoFill="0" autoPict="0" macro="[0]!opti">
                <anchor moveWithCells="1" sizeWithCells="1">
                  <from>
                    <xdr:col>1</xdr:col>
                    <xdr:colOff>22860</xdr:colOff>
                    <xdr:row>30</xdr:row>
                    <xdr:rowOff>15240</xdr:rowOff>
                  </from>
                  <to>
                    <xdr:col>4</xdr:col>
                    <xdr:colOff>45720</xdr:colOff>
                    <xdr:row>33</xdr:row>
                    <xdr:rowOff>0</xdr:rowOff>
                  </to>
                </anchor>
              </controlPr>
            </control>
          </mc:Choice>
        </mc:AlternateContent>
        <mc:AlternateContent xmlns:mc="http://schemas.openxmlformats.org/markup-compatibility/2006">
          <mc:Choice Requires="x14">
            <control shapeId="8059" r:id="rId5" name="Button 4987">
              <controlPr defaultSize="0" print="0" autoFill="0" autoPict="0" macro="[0]!reset_weight">
                <anchor moveWithCells="1" sizeWithCells="1">
                  <from>
                    <xdr:col>1</xdr:col>
                    <xdr:colOff>22860</xdr:colOff>
                    <xdr:row>26</xdr:row>
                    <xdr:rowOff>30480</xdr:rowOff>
                  </from>
                  <to>
                    <xdr:col>4</xdr:col>
                    <xdr:colOff>45720</xdr:colOff>
                    <xdr:row>29</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R259"/>
  <sheetViews>
    <sheetView topLeftCell="R216" zoomScale="70" zoomScaleNormal="70" workbookViewId="0">
      <selection activeCell="AQ2" sqref="AQ2:AQ257"/>
    </sheetView>
  </sheetViews>
  <sheetFormatPr defaultRowHeight="13.2" x14ac:dyDescent="0.25"/>
  <cols>
    <col min="1" max="9" width="10.77734375" customWidth="1"/>
    <col min="40" max="40" width="13.44140625" bestFit="1" customWidth="1"/>
    <col min="42" max="42" width="13.88671875" bestFit="1" customWidth="1"/>
    <col min="43" max="43" width="18.33203125" bestFit="1" customWidth="1"/>
  </cols>
  <sheetData>
    <row r="1" spans="1:44" x14ac:dyDescent="0.25">
      <c r="A1" t="s">
        <v>2</v>
      </c>
      <c r="B1" t="s">
        <v>3</v>
      </c>
      <c r="C1" t="s">
        <v>4</v>
      </c>
      <c r="D1" t="s">
        <v>5</v>
      </c>
      <c r="E1" t="s">
        <v>6</v>
      </c>
      <c r="F1" t="s">
        <v>7</v>
      </c>
      <c r="G1" t="s">
        <v>8</v>
      </c>
      <c r="H1" t="s">
        <v>19</v>
      </c>
      <c r="J1" t="s">
        <v>14</v>
      </c>
      <c r="K1" t="s">
        <v>15</v>
      </c>
      <c r="L1" t="s">
        <v>16</v>
      </c>
      <c r="M1" t="s">
        <v>17</v>
      </c>
      <c r="N1" t="s">
        <v>18</v>
      </c>
      <c r="O1" t="s">
        <v>20</v>
      </c>
      <c r="P1" t="s">
        <v>21</v>
      </c>
      <c r="Q1" t="s">
        <v>22</v>
      </c>
      <c r="R1" t="s">
        <v>9</v>
      </c>
      <c r="T1" t="s">
        <v>31</v>
      </c>
      <c r="U1" t="s">
        <v>32</v>
      </c>
      <c r="V1" t="s">
        <v>33</v>
      </c>
      <c r="W1" t="s">
        <v>34</v>
      </c>
      <c r="X1" t="s">
        <v>35</v>
      </c>
      <c r="Y1" t="s">
        <v>36</v>
      </c>
      <c r="Z1" t="s">
        <v>37</v>
      </c>
      <c r="AA1" t="s">
        <v>38</v>
      </c>
      <c r="AB1" t="s">
        <v>39</v>
      </c>
      <c r="AD1" t="s">
        <v>41</v>
      </c>
      <c r="AE1" t="s">
        <v>42</v>
      </c>
      <c r="AF1" t="s">
        <v>43</v>
      </c>
      <c r="AG1" t="s">
        <v>44</v>
      </c>
      <c r="AH1" t="s">
        <v>45</v>
      </c>
      <c r="AI1" t="s">
        <v>46</v>
      </c>
      <c r="AJ1" t="s">
        <v>47</v>
      </c>
      <c r="AK1" t="s">
        <v>48</v>
      </c>
      <c r="AL1" t="s">
        <v>49</v>
      </c>
      <c r="AN1" t="s">
        <v>12</v>
      </c>
      <c r="AO1" t="s">
        <v>10</v>
      </c>
      <c r="AP1" t="s">
        <v>11</v>
      </c>
      <c r="AQ1" t="s">
        <v>13</v>
      </c>
      <c r="AR1" t="s">
        <v>52</v>
      </c>
    </row>
    <row r="2" spans="1:44" x14ac:dyDescent="0.25">
      <c r="A2">
        <v>1</v>
      </c>
      <c r="B2">
        <v>1</v>
      </c>
      <c r="C2">
        <v>1</v>
      </c>
      <c r="D2">
        <v>1</v>
      </c>
      <c r="E2">
        <v>1</v>
      </c>
      <c r="F2">
        <v>1</v>
      </c>
      <c r="G2">
        <v>1</v>
      </c>
      <c r="H2">
        <v>1</v>
      </c>
      <c r="J2">
        <f>(A2*Inputs!$E$2+ABS((A2-1))*(1-Inputs!$E$2))</f>
        <v>0.65</v>
      </c>
      <c r="K2">
        <f>(B2*Inputs!$E$3+ABS((B2-1))*(1-Inputs!$E$3))</f>
        <v>0.65</v>
      </c>
      <c r="L2">
        <f>(C2*Inputs!$E$4+ABS((C2-1))*(1-Inputs!$E$4))</f>
        <v>0.65</v>
      </c>
      <c r="M2">
        <f>(D2*Inputs!$E$5+ABS((D2-1))*(1-Inputs!$E$5))</f>
        <v>0.65</v>
      </c>
      <c r="N2">
        <f>(E2*Inputs!$E$6+ABS((E2-1))*(1-Inputs!$E$6))</f>
        <v>0.6</v>
      </c>
      <c r="O2">
        <f>(F2*Inputs!$E$7+ABS((F2-1))*(1-Inputs!$E$7))</f>
        <v>0.75</v>
      </c>
      <c r="P2">
        <f>(G2*Inputs!$E$8+ABS((G2-1))*(1-Inputs!$E$8))</f>
        <v>0.6</v>
      </c>
      <c r="Q2">
        <f>(H2*Inputs!$E$9+ABS((H2-1))*(1-Inputs!$E$9))</f>
        <v>0.65</v>
      </c>
      <c r="R2">
        <f>PRODUCT(J2:Q2)</f>
        <v>3.1327846875000009E-2</v>
      </c>
      <c r="T2">
        <f>Inputs!$I$2*A2*Inputs!$G$2</f>
        <v>0.52958847736625514</v>
      </c>
      <c r="U2">
        <f>Inputs!$I$3*B2*Inputs!$G$3</f>
        <v>0.20645773829738062</v>
      </c>
      <c r="V2">
        <f>Inputs!$I$4*C2*Inputs!$G$4</f>
        <v>0.1422264291528948</v>
      </c>
      <c r="W2">
        <f>Inputs!$I$5*D2*Inputs!$G$5</f>
        <v>0.20551679322687164</v>
      </c>
      <c r="X2">
        <f>Inputs!$I$6*E2*Inputs!$G$6</f>
        <v>0.37656981200100598</v>
      </c>
      <c r="Y2">
        <f>Inputs!$I$7*F2*Inputs!$G$7</f>
        <v>0.19972733373941395</v>
      </c>
      <c r="Z2">
        <f>Inputs!$I$8*G2*Inputs!$G$8</f>
        <v>0.76006970051755651</v>
      </c>
      <c r="AA2">
        <f>Inputs!$I$9*H2*Inputs!$G$9</f>
        <v>0.16590779367943137</v>
      </c>
      <c r="AB2">
        <f t="shared" ref="AB2:AB33" si="0">SUM(T2:AA2)</f>
        <v>2.5860640779808097</v>
      </c>
      <c r="AD2">
        <f>Inputs!$I$2*ABS(A2-1)*Inputs!$H$2</f>
        <v>0</v>
      </c>
      <c r="AE2">
        <f>Inputs!$I$3*ABS(B2-1)*Inputs!$H$3</f>
        <v>0</v>
      </c>
      <c r="AF2">
        <f>Inputs!$I$4*ABS(C2-1)*Inputs!$H$4</f>
        <v>0</v>
      </c>
      <c r="AG2">
        <f>Inputs!$I$5*ABS(D2-1)*Inputs!$H$5</f>
        <v>0</v>
      </c>
      <c r="AH2">
        <f>Inputs!$I$6*ABS(E2-1)*Inputs!$H$6</f>
        <v>0</v>
      </c>
      <c r="AI2">
        <f>Inputs!$I$7*ABS(F2-1)*Inputs!$H$7</f>
        <v>0</v>
      </c>
      <c r="AJ2">
        <f>Inputs!$I$8*ABS(G2-1)*Inputs!$H$8</f>
        <v>0</v>
      </c>
      <c r="AK2">
        <f>Inputs!$I$9*ABS(H2-1)*Inputs!$H$9</f>
        <v>0</v>
      </c>
      <c r="AL2">
        <f>-1*SUM(AD2:AK2)</f>
        <v>0</v>
      </c>
      <c r="AN2" s="1">
        <f>AB2+AL2</f>
        <v>2.5860640779808097</v>
      </c>
      <c r="AO2">
        <f>AN2*R2</f>
        <v>8.1015819443920889E-2</v>
      </c>
      <c r="AP2">
        <f t="shared" ref="AP2:AP33" si="1">(AN2-$AO$258)^2*R2</f>
        <v>3.3070112492355121E-2</v>
      </c>
      <c r="AQ2" s="26">
        <f>((1+AN2))^R2</f>
        <v>1.0408184669921619</v>
      </c>
      <c r="AR2">
        <f>AL2*R2</f>
        <v>0</v>
      </c>
    </row>
    <row r="3" spans="1:44" x14ac:dyDescent="0.25">
      <c r="A3">
        <v>1</v>
      </c>
      <c r="B3">
        <v>1</v>
      </c>
      <c r="C3">
        <v>1</v>
      </c>
      <c r="D3">
        <v>1</v>
      </c>
      <c r="E3">
        <v>0</v>
      </c>
      <c r="F3">
        <v>1</v>
      </c>
      <c r="G3">
        <v>1</v>
      </c>
      <c r="H3">
        <v>1</v>
      </c>
      <c r="J3">
        <f>(A3*Inputs!$E$2+ABS((A3-1))*(1-Inputs!$E$2))</f>
        <v>0.65</v>
      </c>
      <c r="K3">
        <f>(B3*Inputs!$E$3+ABS((B3-1))*(1-Inputs!$E$3))</f>
        <v>0.65</v>
      </c>
      <c r="L3">
        <f>(C3*Inputs!$E$4+ABS((C3-1))*(1-Inputs!$E$4))</f>
        <v>0.65</v>
      </c>
      <c r="M3">
        <f>(D3*Inputs!$E$5+ABS((D3-1))*(1-Inputs!$E$5))</f>
        <v>0.65</v>
      </c>
      <c r="N3">
        <f>(E3*Inputs!$E$6+ABS((E3-1))*(1-Inputs!$E$6))</f>
        <v>0.4</v>
      </c>
      <c r="O3">
        <f>(F3*Inputs!$E$7+ABS((F3-1))*(1-Inputs!$E$7))</f>
        <v>0.75</v>
      </c>
      <c r="P3">
        <f>(G3*Inputs!$E$8+ABS((G3-1))*(1-Inputs!$E$8))</f>
        <v>0.6</v>
      </c>
      <c r="Q3">
        <f>(H3*Inputs!$E$9+ABS((H3-1))*(1-Inputs!$E$9))</f>
        <v>0.65</v>
      </c>
      <c r="R3">
        <f t="shared" ref="R3:R66" si="2">PRODUCT(J3:Q3)</f>
        <v>2.0885231250000004E-2</v>
      </c>
      <c r="T3">
        <f>Inputs!$I$2*A3*Inputs!$G$2</f>
        <v>0.52958847736625514</v>
      </c>
      <c r="U3">
        <f>Inputs!$I$3*B3*Inputs!$G$3</f>
        <v>0.20645773829738062</v>
      </c>
      <c r="V3">
        <f>Inputs!$I$4*C3*Inputs!$G$4</f>
        <v>0.1422264291528948</v>
      </c>
      <c r="W3">
        <f>Inputs!$I$5*D3*Inputs!$G$5</f>
        <v>0.20551679322687164</v>
      </c>
      <c r="X3">
        <f>Inputs!$I$6*E3*Inputs!$G$6</f>
        <v>0</v>
      </c>
      <c r="Y3">
        <f>Inputs!$I$7*F3*Inputs!$G$7</f>
        <v>0.19972733373941395</v>
      </c>
      <c r="Z3">
        <f>Inputs!$I$8*G3*Inputs!$G$8</f>
        <v>0.76006970051755651</v>
      </c>
      <c r="AA3">
        <f>Inputs!$I$9*H3*Inputs!$G$9</f>
        <v>0.16590779367943137</v>
      </c>
      <c r="AB3">
        <f t="shared" si="0"/>
        <v>2.2094942659798038</v>
      </c>
      <c r="AD3">
        <f>Inputs!$I$2*ABS(A3-1)*Inputs!$H$2</f>
        <v>0</v>
      </c>
      <c r="AE3">
        <f>Inputs!$I$3*ABS(B3-1)*Inputs!$H$3</f>
        <v>0</v>
      </c>
      <c r="AF3">
        <f>Inputs!$I$4*ABS(C3-1)*Inputs!$H$4</f>
        <v>0</v>
      </c>
      <c r="AG3">
        <f>Inputs!$I$5*ABS(D3-1)*Inputs!$H$5</f>
        <v>0</v>
      </c>
      <c r="AH3">
        <f>Inputs!$I$6*ABS(E3-1)*Inputs!$H$6</f>
        <v>6.4042485034184693E-2</v>
      </c>
      <c r="AI3">
        <f>Inputs!$I$7*ABS(F3-1)*Inputs!$H$7</f>
        <v>0</v>
      </c>
      <c r="AJ3">
        <f>Inputs!$I$8*ABS(G3-1)*Inputs!$H$8</f>
        <v>0</v>
      </c>
      <c r="AK3">
        <f>Inputs!$I$9*ABS(H3-1)*Inputs!$H$9</f>
        <v>0</v>
      </c>
      <c r="AL3">
        <f t="shared" ref="AL3:AL66" si="3">-1*SUM(AD3:AK3)</f>
        <v>-6.4042485034184693E-2</v>
      </c>
      <c r="AN3" s="1">
        <f t="shared" ref="AN3:AN66" si="4">AB3+AL3</f>
        <v>2.1454517809456193</v>
      </c>
      <c r="AO3">
        <f t="shared" ref="AO3:AO33" si="5">AN3*R3</f>
        <v>4.4808256580773607E-2</v>
      </c>
      <c r="AP3">
        <f t="shared" si="1"/>
        <v>7.1919527000270881E-3</v>
      </c>
      <c r="AQ3" s="26">
        <f t="shared" ref="AQ3:AQ66" si="6">((1+AN3))^R3</f>
        <v>1.0242222950059749</v>
      </c>
      <c r="AR3">
        <f t="shared" ref="AR3:AR66" si="7">AL3*R3</f>
        <v>-1.3375421097636118E-3</v>
      </c>
    </row>
    <row r="4" spans="1:44" x14ac:dyDescent="0.25">
      <c r="A4">
        <v>1</v>
      </c>
      <c r="B4">
        <v>1</v>
      </c>
      <c r="C4">
        <v>1</v>
      </c>
      <c r="D4">
        <v>0</v>
      </c>
      <c r="E4">
        <v>1</v>
      </c>
      <c r="F4">
        <v>1</v>
      </c>
      <c r="G4">
        <v>1</v>
      </c>
      <c r="H4">
        <v>1</v>
      </c>
      <c r="J4">
        <f>(A4*Inputs!$E$2+ABS((A4-1))*(1-Inputs!$E$2))</f>
        <v>0.65</v>
      </c>
      <c r="K4">
        <f>(B4*Inputs!$E$3+ABS((B4-1))*(1-Inputs!$E$3))</f>
        <v>0.65</v>
      </c>
      <c r="L4">
        <f>(C4*Inputs!$E$4+ABS((C4-1))*(1-Inputs!$E$4))</f>
        <v>0.65</v>
      </c>
      <c r="M4">
        <f>(D4*Inputs!$E$5+ABS((D4-1))*(1-Inputs!$E$5))</f>
        <v>0.35</v>
      </c>
      <c r="N4">
        <f>(E4*Inputs!$E$6+ABS((E4-1))*(1-Inputs!$E$6))</f>
        <v>0.6</v>
      </c>
      <c r="O4">
        <f>(F4*Inputs!$E$7+ABS((F4-1))*(1-Inputs!$E$7))</f>
        <v>0.75</v>
      </c>
      <c r="P4">
        <f>(G4*Inputs!$E$8+ABS((G4-1))*(1-Inputs!$E$8))</f>
        <v>0.6</v>
      </c>
      <c r="Q4">
        <f>(H4*Inputs!$E$9+ABS((H4-1))*(1-Inputs!$E$9))</f>
        <v>0.65</v>
      </c>
      <c r="R4">
        <f t="shared" si="2"/>
        <v>1.6868840625000003E-2</v>
      </c>
      <c r="T4">
        <f>Inputs!$I$2*A4*Inputs!$G$2</f>
        <v>0.52958847736625514</v>
      </c>
      <c r="U4">
        <f>Inputs!$I$3*B4*Inputs!$G$3</f>
        <v>0.20645773829738062</v>
      </c>
      <c r="V4">
        <f>Inputs!$I$4*C4*Inputs!$G$4</f>
        <v>0.1422264291528948</v>
      </c>
      <c r="W4">
        <f>Inputs!$I$5*D4*Inputs!$G$5</f>
        <v>0</v>
      </c>
      <c r="X4">
        <f>Inputs!$I$6*E4*Inputs!$G$6</f>
        <v>0.37656981200100598</v>
      </c>
      <c r="Y4">
        <f>Inputs!$I$7*F4*Inputs!$G$7</f>
        <v>0.19972733373941395</v>
      </c>
      <c r="Z4">
        <f>Inputs!$I$8*G4*Inputs!$G$8</f>
        <v>0.76006970051755651</v>
      </c>
      <c r="AA4">
        <f>Inputs!$I$9*H4*Inputs!$G$9</f>
        <v>0.16590779367943137</v>
      </c>
      <c r="AB4">
        <f t="shared" si="0"/>
        <v>2.3805472847539382</v>
      </c>
      <c r="AD4">
        <f>Inputs!$I$2*ABS(A4-1)*Inputs!$H$2</f>
        <v>0</v>
      </c>
      <c r="AE4">
        <f>Inputs!$I$3*ABS(B4-1)*Inputs!$H$3</f>
        <v>0</v>
      </c>
      <c r="AF4">
        <f>Inputs!$I$4*ABS(C4-1)*Inputs!$H$4</f>
        <v>0</v>
      </c>
      <c r="AG4">
        <f>Inputs!$I$5*ABS(D4-1)*Inputs!$H$5</f>
        <v>3.0032539984442563E-2</v>
      </c>
      <c r="AH4">
        <f>Inputs!$I$6*ABS(E4-1)*Inputs!$H$6</f>
        <v>0</v>
      </c>
      <c r="AI4">
        <f>Inputs!$I$7*ABS(F4-1)*Inputs!$H$7</f>
        <v>0</v>
      </c>
      <c r="AJ4">
        <f>Inputs!$I$8*ABS(G4-1)*Inputs!$H$8</f>
        <v>0</v>
      </c>
      <c r="AK4">
        <f>Inputs!$I$9*ABS(H4-1)*Inputs!$H$9</f>
        <v>0</v>
      </c>
      <c r="AL4">
        <f t="shared" si="3"/>
        <v>-3.0032539984442563E-2</v>
      </c>
      <c r="AN4" s="1">
        <f t="shared" si="4"/>
        <v>2.3505147447694954</v>
      </c>
      <c r="AO4">
        <f t="shared" si="5"/>
        <v>3.9650458616229178E-2</v>
      </c>
      <c r="AP4">
        <f t="shared" si="1"/>
        <v>1.0578048289810821E-2</v>
      </c>
      <c r="AQ4" s="26">
        <f t="shared" si="6"/>
        <v>1.020605778177285</v>
      </c>
      <c r="AR4">
        <f t="shared" si="7"/>
        <v>-5.0661413056150167E-4</v>
      </c>
    </row>
    <row r="5" spans="1:44" x14ac:dyDescent="0.25">
      <c r="A5">
        <v>1</v>
      </c>
      <c r="B5">
        <v>1</v>
      </c>
      <c r="C5">
        <v>1</v>
      </c>
      <c r="D5">
        <v>0</v>
      </c>
      <c r="E5">
        <v>0</v>
      </c>
      <c r="F5">
        <v>1</v>
      </c>
      <c r="G5">
        <v>1</v>
      </c>
      <c r="H5">
        <v>1</v>
      </c>
      <c r="J5">
        <f>(A5*Inputs!$E$2+ABS((A5-1))*(1-Inputs!$E$2))</f>
        <v>0.65</v>
      </c>
      <c r="K5">
        <f>(B5*Inputs!$E$3+ABS((B5-1))*(1-Inputs!$E$3))</f>
        <v>0.65</v>
      </c>
      <c r="L5">
        <f>(C5*Inputs!$E$4+ABS((C5-1))*(1-Inputs!$E$4))</f>
        <v>0.65</v>
      </c>
      <c r="M5">
        <f>(D5*Inputs!$E$5+ABS((D5-1))*(1-Inputs!$E$5))</f>
        <v>0.35</v>
      </c>
      <c r="N5">
        <f>(E5*Inputs!$E$6+ABS((E5-1))*(1-Inputs!$E$6))</f>
        <v>0.4</v>
      </c>
      <c r="O5">
        <f>(F5*Inputs!$E$7+ABS((F5-1))*(1-Inputs!$E$7))</f>
        <v>0.75</v>
      </c>
      <c r="P5">
        <f>(G5*Inputs!$E$8+ABS((G5-1))*(1-Inputs!$E$8))</f>
        <v>0.6</v>
      </c>
      <c r="Q5">
        <f>(H5*Inputs!$E$9+ABS((H5-1))*(1-Inputs!$E$9))</f>
        <v>0.65</v>
      </c>
      <c r="R5">
        <f t="shared" si="2"/>
        <v>1.1245893750000003E-2</v>
      </c>
      <c r="T5">
        <f>Inputs!$I$2*A5*Inputs!$G$2</f>
        <v>0.52958847736625514</v>
      </c>
      <c r="U5">
        <f>Inputs!$I$3*B5*Inputs!$G$3</f>
        <v>0.20645773829738062</v>
      </c>
      <c r="V5">
        <f>Inputs!$I$4*C5*Inputs!$G$4</f>
        <v>0.1422264291528948</v>
      </c>
      <c r="W5">
        <f>Inputs!$I$5*D5*Inputs!$G$5</f>
        <v>0</v>
      </c>
      <c r="X5">
        <f>Inputs!$I$6*E5*Inputs!$G$6</f>
        <v>0</v>
      </c>
      <c r="Y5">
        <f>Inputs!$I$7*F5*Inputs!$G$7</f>
        <v>0.19972733373941395</v>
      </c>
      <c r="Z5">
        <f>Inputs!$I$8*G5*Inputs!$G$8</f>
        <v>0.76006970051755651</v>
      </c>
      <c r="AA5">
        <f>Inputs!$I$9*H5*Inputs!$G$9</f>
        <v>0.16590779367943137</v>
      </c>
      <c r="AB5">
        <f t="shared" si="0"/>
        <v>2.0039774727529323</v>
      </c>
      <c r="AD5">
        <f>Inputs!$I$2*ABS(A5-1)*Inputs!$H$2</f>
        <v>0</v>
      </c>
      <c r="AE5">
        <f>Inputs!$I$3*ABS(B5-1)*Inputs!$H$3</f>
        <v>0</v>
      </c>
      <c r="AF5">
        <f>Inputs!$I$4*ABS(C5-1)*Inputs!$H$4</f>
        <v>0</v>
      </c>
      <c r="AG5">
        <f>Inputs!$I$5*ABS(D5-1)*Inputs!$H$5</f>
        <v>3.0032539984442563E-2</v>
      </c>
      <c r="AH5">
        <f>Inputs!$I$6*ABS(E5-1)*Inputs!$H$6</f>
        <v>6.4042485034184693E-2</v>
      </c>
      <c r="AI5">
        <f>Inputs!$I$7*ABS(F5-1)*Inputs!$H$7</f>
        <v>0</v>
      </c>
      <c r="AJ5">
        <f>Inputs!$I$8*ABS(G5-1)*Inputs!$H$8</f>
        <v>0</v>
      </c>
      <c r="AK5">
        <f>Inputs!$I$9*ABS(H5-1)*Inputs!$H$9</f>
        <v>0</v>
      </c>
      <c r="AL5">
        <f t="shared" si="3"/>
        <v>-9.4075025018627259E-2</v>
      </c>
      <c r="AN5" s="1">
        <f t="shared" si="4"/>
        <v>1.909902447734305</v>
      </c>
      <c r="AO5">
        <f t="shared" si="5"/>
        <v>2.1478560000084926E-2</v>
      </c>
      <c r="AP5">
        <f t="shared" si="1"/>
        <v>1.3876308208356676E-3</v>
      </c>
      <c r="AQ5" s="26">
        <f t="shared" si="6"/>
        <v>1.0120843923676406</v>
      </c>
      <c r="AR5">
        <f t="shared" si="7"/>
        <v>-1.0579577358880742E-3</v>
      </c>
    </row>
    <row r="6" spans="1:44" x14ac:dyDescent="0.25">
      <c r="A6">
        <v>1</v>
      </c>
      <c r="B6">
        <v>1</v>
      </c>
      <c r="C6">
        <v>0</v>
      </c>
      <c r="D6">
        <v>1</v>
      </c>
      <c r="E6">
        <v>1</v>
      </c>
      <c r="F6">
        <v>1</v>
      </c>
      <c r="G6">
        <v>1</v>
      </c>
      <c r="H6">
        <v>1</v>
      </c>
      <c r="J6">
        <f>(A6*Inputs!$E$2+ABS((A6-1))*(1-Inputs!$E$2))</f>
        <v>0.65</v>
      </c>
      <c r="K6">
        <f>(B6*Inputs!$E$3+ABS((B6-1))*(1-Inputs!$E$3))</f>
        <v>0.65</v>
      </c>
      <c r="L6">
        <f>(C6*Inputs!$E$4+ABS((C6-1))*(1-Inputs!$E$4))</f>
        <v>0.35</v>
      </c>
      <c r="M6">
        <f>(D6*Inputs!$E$5+ABS((D6-1))*(1-Inputs!$E$5))</f>
        <v>0.65</v>
      </c>
      <c r="N6">
        <f>(E6*Inputs!$E$6+ABS((E6-1))*(1-Inputs!$E$6))</f>
        <v>0.6</v>
      </c>
      <c r="O6">
        <f>(F6*Inputs!$E$7+ABS((F6-1))*(1-Inputs!$E$7))</f>
        <v>0.75</v>
      </c>
      <c r="P6">
        <f>(G6*Inputs!$E$8+ABS((G6-1))*(1-Inputs!$E$8))</f>
        <v>0.6</v>
      </c>
      <c r="Q6">
        <f>(H6*Inputs!$E$9+ABS((H6-1))*(1-Inputs!$E$9))</f>
        <v>0.65</v>
      </c>
      <c r="R6">
        <f t="shared" si="2"/>
        <v>1.6868840624999999E-2</v>
      </c>
      <c r="T6">
        <f>Inputs!$I$2*A6*Inputs!$G$2</f>
        <v>0.52958847736625514</v>
      </c>
      <c r="U6">
        <f>Inputs!$I$3*B6*Inputs!$G$3</f>
        <v>0.20645773829738062</v>
      </c>
      <c r="V6">
        <f>Inputs!$I$4*C6*Inputs!$G$4</f>
        <v>0</v>
      </c>
      <c r="W6">
        <f>Inputs!$I$5*D6*Inputs!$G$5</f>
        <v>0.20551679322687164</v>
      </c>
      <c r="X6">
        <f>Inputs!$I$6*E6*Inputs!$G$6</f>
        <v>0.37656981200100598</v>
      </c>
      <c r="Y6">
        <f>Inputs!$I$7*F6*Inputs!$G$7</f>
        <v>0.19972733373941395</v>
      </c>
      <c r="Z6">
        <f>Inputs!$I$8*G6*Inputs!$G$8</f>
        <v>0.76006970051755651</v>
      </c>
      <c r="AA6">
        <f>Inputs!$I$9*H6*Inputs!$G$9</f>
        <v>0.16590779367943137</v>
      </c>
      <c r="AB6">
        <f t="shared" si="0"/>
        <v>2.4438376488279152</v>
      </c>
      <c r="AD6">
        <f>Inputs!$I$2*ABS(A6-1)*Inputs!$H$2</f>
        <v>0</v>
      </c>
      <c r="AE6">
        <f>Inputs!$I$3*ABS(B6-1)*Inputs!$H$3</f>
        <v>0</v>
      </c>
      <c r="AF6">
        <f>Inputs!$I$4*ABS(C6-1)*Inputs!$H$4</f>
        <v>8.9678988679000853E-3</v>
      </c>
      <c r="AG6">
        <f>Inputs!$I$5*ABS(D6-1)*Inputs!$H$5</f>
        <v>0</v>
      </c>
      <c r="AH6">
        <f>Inputs!$I$6*ABS(E6-1)*Inputs!$H$6</f>
        <v>0</v>
      </c>
      <c r="AI6">
        <f>Inputs!$I$7*ABS(F6-1)*Inputs!$H$7</f>
        <v>0</v>
      </c>
      <c r="AJ6">
        <f>Inputs!$I$8*ABS(G6-1)*Inputs!$H$8</f>
        <v>0</v>
      </c>
      <c r="AK6">
        <f>Inputs!$I$9*ABS(H6-1)*Inputs!$H$9</f>
        <v>0</v>
      </c>
      <c r="AL6">
        <f t="shared" si="3"/>
        <v>-8.9678988679000853E-3</v>
      </c>
      <c r="AN6" s="1">
        <f t="shared" si="4"/>
        <v>2.4348697499600149</v>
      </c>
      <c r="AO6">
        <f t="shared" si="5"/>
        <v>4.1073429754709088E-2</v>
      </c>
      <c r="AP6">
        <f t="shared" si="1"/>
        <v>1.2951731849038431E-2</v>
      </c>
      <c r="AQ6" s="26">
        <f t="shared" si="6"/>
        <v>1.0210339549528522</v>
      </c>
      <c r="AR6">
        <f t="shared" si="7"/>
        <v>-1.5127805674372446E-4</v>
      </c>
    </row>
    <row r="7" spans="1:44" x14ac:dyDescent="0.25">
      <c r="A7">
        <v>1</v>
      </c>
      <c r="B7">
        <v>1</v>
      </c>
      <c r="C7">
        <v>0</v>
      </c>
      <c r="D7">
        <v>1</v>
      </c>
      <c r="E7">
        <v>0</v>
      </c>
      <c r="F7">
        <v>1</v>
      </c>
      <c r="G7">
        <v>1</v>
      </c>
      <c r="H7">
        <v>1</v>
      </c>
      <c r="J7">
        <f>(A7*Inputs!$E$2+ABS((A7-1))*(1-Inputs!$E$2))</f>
        <v>0.65</v>
      </c>
      <c r="K7">
        <f>(B7*Inputs!$E$3+ABS((B7-1))*(1-Inputs!$E$3))</f>
        <v>0.65</v>
      </c>
      <c r="L7">
        <f>(C7*Inputs!$E$4+ABS((C7-1))*(1-Inputs!$E$4))</f>
        <v>0.35</v>
      </c>
      <c r="M7">
        <f>(D7*Inputs!$E$5+ABS((D7-1))*(1-Inputs!$E$5))</f>
        <v>0.65</v>
      </c>
      <c r="N7">
        <f>(E7*Inputs!$E$6+ABS((E7-1))*(1-Inputs!$E$6))</f>
        <v>0.4</v>
      </c>
      <c r="O7">
        <f>(F7*Inputs!$E$7+ABS((F7-1))*(1-Inputs!$E$7))</f>
        <v>0.75</v>
      </c>
      <c r="P7">
        <f>(G7*Inputs!$E$8+ABS((G7-1))*(1-Inputs!$E$8))</f>
        <v>0.6</v>
      </c>
      <c r="Q7">
        <f>(H7*Inputs!$E$9+ABS((H7-1))*(1-Inputs!$E$9))</f>
        <v>0.65</v>
      </c>
      <c r="R7">
        <f t="shared" si="2"/>
        <v>1.1245893750000001E-2</v>
      </c>
      <c r="T7">
        <f>Inputs!$I$2*A7*Inputs!$G$2</f>
        <v>0.52958847736625514</v>
      </c>
      <c r="U7">
        <f>Inputs!$I$3*B7*Inputs!$G$3</f>
        <v>0.20645773829738062</v>
      </c>
      <c r="V7">
        <f>Inputs!$I$4*C7*Inputs!$G$4</f>
        <v>0</v>
      </c>
      <c r="W7">
        <f>Inputs!$I$5*D7*Inputs!$G$5</f>
        <v>0.20551679322687164</v>
      </c>
      <c r="X7">
        <f>Inputs!$I$6*E7*Inputs!$G$6</f>
        <v>0</v>
      </c>
      <c r="Y7">
        <f>Inputs!$I$7*F7*Inputs!$G$7</f>
        <v>0.19972733373941395</v>
      </c>
      <c r="Z7">
        <f>Inputs!$I$8*G7*Inputs!$G$8</f>
        <v>0.76006970051755651</v>
      </c>
      <c r="AA7">
        <f>Inputs!$I$9*H7*Inputs!$G$9</f>
        <v>0.16590779367943137</v>
      </c>
      <c r="AB7">
        <f t="shared" si="0"/>
        <v>2.0672678368269093</v>
      </c>
      <c r="AD7">
        <f>Inputs!$I$2*ABS(A7-1)*Inputs!$H$2</f>
        <v>0</v>
      </c>
      <c r="AE7">
        <f>Inputs!$I$3*ABS(B7-1)*Inputs!$H$3</f>
        <v>0</v>
      </c>
      <c r="AF7">
        <f>Inputs!$I$4*ABS(C7-1)*Inputs!$H$4</f>
        <v>8.9678988679000853E-3</v>
      </c>
      <c r="AG7">
        <f>Inputs!$I$5*ABS(D7-1)*Inputs!$H$5</f>
        <v>0</v>
      </c>
      <c r="AH7">
        <f>Inputs!$I$6*ABS(E7-1)*Inputs!$H$6</f>
        <v>6.4042485034184693E-2</v>
      </c>
      <c r="AI7">
        <f>Inputs!$I$7*ABS(F7-1)*Inputs!$H$7</f>
        <v>0</v>
      </c>
      <c r="AJ7">
        <f>Inputs!$I$8*ABS(G7-1)*Inputs!$H$8</f>
        <v>0</v>
      </c>
      <c r="AK7">
        <f>Inputs!$I$9*ABS(H7-1)*Inputs!$H$9</f>
        <v>0</v>
      </c>
      <c r="AL7">
        <f t="shared" si="3"/>
        <v>-7.301038390208478E-2</v>
      </c>
      <c r="AN7" s="1">
        <f t="shared" si="4"/>
        <v>1.9942574529248245</v>
      </c>
      <c r="AO7">
        <f t="shared" si="5"/>
        <v>2.2427207425738206E-2</v>
      </c>
      <c r="AP7">
        <f t="shared" si="1"/>
        <v>2.1341150844001837E-3</v>
      </c>
      <c r="AQ7" s="26">
        <f t="shared" si="6"/>
        <v>1.0124096989004341</v>
      </c>
      <c r="AR7">
        <f t="shared" si="7"/>
        <v>-8.2106702000955595E-4</v>
      </c>
    </row>
    <row r="8" spans="1:44" x14ac:dyDescent="0.25">
      <c r="A8">
        <v>1</v>
      </c>
      <c r="B8">
        <v>1</v>
      </c>
      <c r="C8">
        <v>0</v>
      </c>
      <c r="D8">
        <v>0</v>
      </c>
      <c r="E8">
        <v>1</v>
      </c>
      <c r="F8">
        <v>1</v>
      </c>
      <c r="G8">
        <v>1</v>
      </c>
      <c r="H8">
        <v>1</v>
      </c>
      <c r="J8">
        <f>(A8*Inputs!$E$2+ABS((A8-1))*(1-Inputs!$E$2))</f>
        <v>0.65</v>
      </c>
      <c r="K8">
        <f>(B8*Inputs!$E$3+ABS((B8-1))*(1-Inputs!$E$3))</f>
        <v>0.65</v>
      </c>
      <c r="L8">
        <f>(C8*Inputs!$E$4+ABS((C8-1))*(1-Inputs!$E$4))</f>
        <v>0.35</v>
      </c>
      <c r="M8">
        <f>(D8*Inputs!$E$5+ABS((D8-1))*(1-Inputs!$E$5))</f>
        <v>0.35</v>
      </c>
      <c r="N8">
        <f>(E8*Inputs!$E$6+ABS((E8-1))*(1-Inputs!$E$6))</f>
        <v>0.6</v>
      </c>
      <c r="O8">
        <f>(F8*Inputs!$E$7+ABS((F8-1))*(1-Inputs!$E$7))</f>
        <v>0.75</v>
      </c>
      <c r="P8">
        <f>(G8*Inputs!$E$8+ABS((G8-1))*(1-Inputs!$E$8))</f>
        <v>0.6</v>
      </c>
      <c r="Q8">
        <f>(H8*Inputs!$E$9+ABS((H8-1))*(1-Inputs!$E$9))</f>
        <v>0.65</v>
      </c>
      <c r="R8">
        <f t="shared" si="2"/>
        <v>9.0832218750000002E-3</v>
      </c>
      <c r="T8">
        <f>Inputs!$I$2*A8*Inputs!$G$2</f>
        <v>0.52958847736625514</v>
      </c>
      <c r="U8">
        <f>Inputs!$I$3*B8*Inputs!$G$3</f>
        <v>0.20645773829738062</v>
      </c>
      <c r="V8">
        <f>Inputs!$I$4*C8*Inputs!$G$4</f>
        <v>0</v>
      </c>
      <c r="W8">
        <f>Inputs!$I$5*D8*Inputs!$G$5</f>
        <v>0</v>
      </c>
      <c r="X8">
        <f>Inputs!$I$6*E8*Inputs!$G$6</f>
        <v>0.37656981200100598</v>
      </c>
      <c r="Y8">
        <f>Inputs!$I$7*F8*Inputs!$G$7</f>
        <v>0.19972733373941395</v>
      </c>
      <c r="Z8">
        <f>Inputs!$I$8*G8*Inputs!$G$8</f>
        <v>0.76006970051755651</v>
      </c>
      <c r="AA8">
        <f>Inputs!$I$9*H8*Inputs!$G$9</f>
        <v>0.16590779367943137</v>
      </c>
      <c r="AB8">
        <f t="shared" si="0"/>
        <v>2.2383208556010432</v>
      </c>
      <c r="AD8">
        <f>Inputs!$I$2*ABS(A8-1)*Inputs!$H$2</f>
        <v>0</v>
      </c>
      <c r="AE8">
        <f>Inputs!$I$3*ABS(B8-1)*Inputs!$H$3</f>
        <v>0</v>
      </c>
      <c r="AF8">
        <f>Inputs!$I$4*ABS(C8-1)*Inputs!$H$4</f>
        <v>8.9678988679000853E-3</v>
      </c>
      <c r="AG8">
        <f>Inputs!$I$5*ABS(D8-1)*Inputs!$H$5</f>
        <v>3.0032539984442563E-2</v>
      </c>
      <c r="AH8">
        <f>Inputs!$I$6*ABS(E8-1)*Inputs!$H$6</f>
        <v>0</v>
      </c>
      <c r="AI8">
        <f>Inputs!$I$7*ABS(F8-1)*Inputs!$H$7</f>
        <v>0</v>
      </c>
      <c r="AJ8">
        <f>Inputs!$I$8*ABS(G8-1)*Inputs!$H$8</f>
        <v>0</v>
      </c>
      <c r="AK8">
        <f>Inputs!$I$9*ABS(H8-1)*Inputs!$H$9</f>
        <v>0</v>
      </c>
      <c r="AL8">
        <f t="shared" si="3"/>
        <v>-3.9000438852342646E-2</v>
      </c>
      <c r="AN8" s="1">
        <f t="shared" si="4"/>
        <v>2.1993204167487006</v>
      </c>
      <c r="AO8">
        <f t="shared" si="5"/>
        <v>1.9976915319545915E-2</v>
      </c>
      <c r="AP8">
        <f t="shared" si="1"/>
        <v>3.7284805001776278E-3</v>
      </c>
      <c r="AQ8" s="26">
        <f t="shared" si="6"/>
        <v>1.0106192155262466</v>
      </c>
      <c r="AR8">
        <f t="shared" si="7"/>
        <v>-3.5424963931819864E-4</v>
      </c>
    </row>
    <row r="9" spans="1:44" x14ac:dyDescent="0.25">
      <c r="A9">
        <v>1</v>
      </c>
      <c r="B9">
        <v>1</v>
      </c>
      <c r="C9">
        <v>0</v>
      </c>
      <c r="D9">
        <v>0</v>
      </c>
      <c r="E9">
        <v>0</v>
      </c>
      <c r="F9">
        <v>1</v>
      </c>
      <c r="G9">
        <v>1</v>
      </c>
      <c r="H9">
        <v>1</v>
      </c>
      <c r="J9">
        <f>(A9*Inputs!$E$2+ABS((A9-1))*(1-Inputs!$E$2))</f>
        <v>0.65</v>
      </c>
      <c r="K9">
        <f>(B9*Inputs!$E$3+ABS((B9-1))*(1-Inputs!$E$3))</f>
        <v>0.65</v>
      </c>
      <c r="L9">
        <f>(C9*Inputs!$E$4+ABS((C9-1))*(1-Inputs!$E$4))</f>
        <v>0.35</v>
      </c>
      <c r="M9">
        <f>(D9*Inputs!$E$5+ABS((D9-1))*(1-Inputs!$E$5))</f>
        <v>0.35</v>
      </c>
      <c r="N9">
        <f>(E9*Inputs!$E$6+ABS((E9-1))*(1-Inputs!$E$6))</f>
        <v>0.4</v>
      </c>
      <c r="O9">
        <f>(F9*Inputs!$E$7+ABS((F9-1))*(1-Inputs!$E$7))</f>
        <v>0.75</v>
      </c>
      <c r="P9">
        <f>(G9*Inputs!$E$8+ABS((G9-1))*(1-Inputs!$E$8))</f>
        <v>0.6</v>
      </c>
      <c r="Q9">
        <f>(H9*Inputs!$E$9+ABS((H9-1))*(1-Inputs!$E$9))</f>
        <v>0.65</v>
      </c>
      <c r="R9">
        <f t="shared" si="2"/>
        <v>6.0554812500000004E-3</v>
      </c>
      <c r="T9">
        <f>Inputs!$I$2*A9*Inputs!$G$2</f>
        <v>0.52958847736625514</v>
      </c>
      <c r="U9">
        <f>Inputs!$I$3*B9*Inputs!$G$3</f>
        <v>0.20645773829738062</v>
      </c>
      <c r="V9">
        <f>Inputs!$I$4*C9*Inputs!$G$4</f>
        <v>0</v>
      </c>
      <c r="W9">
        <f>Inputs!$I$5*D9*Inputs!$G$5</f>
        <v>0</v>
      </c>
      <c r="X9">
        <f>Inputs!$I$6*E9*Inputs!$G$6</f>
        <v>0</v>
      </c>
      <c r="Y9">
        <f>Inputs!$I$7*F9*Inputs!$G$7</f>
        <v>0.19972733373941395</v>
      </c>
      <c r="Z9">
        <f>Inputs!$I$8*G9*Inputs!$G$8</f>
        <v>0.76006970051755651</v>
      </c>
      <c r="AA9">
        <f>Inputs!$I$9*H9*Inputs!$G$9</f>
        <v>0.16590779367943137</v>
      </c>
      <c r="AB9">
        <f t="shared" si="0"/>
        <v>1.8617510436000377</v>
      </c>
      <c r="AD9">
        <f>Inputs!$I$2*ABS(A9-1)*Inputs!$H$2</f>
        <v>0</v>
      </c>
      <c r="AE9">
        <f>Inputs!$I$3*ABS(B9-1)*Inputs!$H$3</f>
        <v>0</v>
      </c>
      <c r="AF9">
        <f>Inputs!$I$4*ABS(C9-1)*Inputs!$H$4</f>
        <v>8.9678988679000853E-3</v>
      </c>
      <c r="AG9">
        <f>Inputs!$I$5*ABS(D9-1)*Inputs!$H$5</f>
        <v>3.0032539984442563E-2</v>
      </c>
      <c r="AH9">
        <f>Inputs!$I$6*ABS(E9-1)*Inputs!$H$6</f>
        <v>6.4042485034184693E-2</v>
      </c>
      <c r="AI9">
        <f>Inputs!$I$7*ABS(F9-1)*Inputs!$H$7</f>
        <v>0</v>
      </c>
      <c r="AJ9">
        <f>Inputs!$I$8*ABS(G9-1)*Inputs!$H$8</f>
        <v>0</v>
      </c>
      <c r="AK9">
        <f>Inputs!$I$9*ABS(H9-1)*Inputs!$H$9</f>
        <v>0</v>
      </c>
      <c r="AL9">
        <f t="shared" si="3"/>
        <v>-0.10304292388652733</v>
      </c>
      <c r="AN9" s="1">
        <f t="shared" si="4"/>
        <v>1.7587081197135104</v>
      </c>
      <c r="AO9">
        <f t="shared" si="5"/>
        <v>1.0649824043147918E-2</v>
      </c>
      <c r="AP9">
        <f t="shared" si="1"/>
        <v>2.424004600901009E-4</v>
      </c>
      <c r="AQ9" s="26">
        <f t="shared" si="6"/>
        <v>1.0061637937541026</v>
      </c>
      <c r="AR9">
        <f t="shared" si="7"/>
        <v>-6.2397449354004348E-4</v>
      </c>
    </row>
    <row r="10" spans="1:44" x14ac:dyDescent="0.25">
      <c r="A10">
        <v>1</v>
      </c>
      <c r="B10">
        <v>0</v>
      </c>
      <c r="C10">
        <v>1</v>
      </c>
      <c r="D10">
        <v>1</v>
      </c>
      <c r="E10">
        <v>1</v>
      </c>
      <c r="F10">
        <v>1</v>
      </c>
      <c r="G10">
        <v>1</v>
      </c>
      <c r="H10">
        <v>1</v>
      </c>
      <c r="J10">
        <f>(A10*Inputs!$E$2+ABS((A10-1))*(1-Inputs!$E$2))</f>
        <v>0.65</v>
      </c>
      <c r="K10">
        <f>(B10*Inputs!$E$3+ABS((B10-1))*(1-Inputs!$E$3))</f>
        <v>0.35</v>
      </c>
      <c r="L10">
        <f>(C10*Inputs!$E$4+ABS((C10-1))*(1-Inputs!$E$4))</f>
        <v>0.65</v>
      </c>
      <c r="M10">
        <f>(D10*Inputs!$E$5+ABS((D10-1))*(1-Inputs!$E$5))</f>
        <v>0.65</v>
      </c>
      <c r="N10">
        <f>(E10*Inputs!$E$6+ABS((E10-1))*(1-Inputs!$E$6))</f>
        <v>0.6</v>
      </c>
      <c r="O10">
        <f>(F10*Inputs!$E$7+ABS((F10-1))*(1-Inputs!$E$7))</f>
        <v>0.75</v>
      </c>
      <c r="P10">
        <f>(G10*Inputs!$E$8+ABS((G10-1))*(1-Inputs!$E$8))</f>
        <v>0.6</v>
      </c>
      <c r="Q10">
        <f>(H10*Inputs!$E$9+ABS((H10-1))*(1-Inputs!$E$9))</f>
        <v>0.65</v>
      </c>
      <c r="R10">
        <f t="shared" si="2"/>
        <v>1.6868840624999996E-2</v>
      </c>
      <c r="T10">
        <f>Inputs!$I$2*A10*Inputs!$G$2</f>
        <v>0.52958847736625514</v>
      </c>
      <c r="U10">
        <f>Inputs!$I$3*B10*Inputs!$G$3</f>
        <v>0</v>
      </c>
      <c r="V10">
        <f>Inputs!$I$4*C10*Inputs!$G$4</f>
        <v>0.1422264291528948</v>
      </c>
      <c r="W10">
        <f>Inputs!$I$5*D10*Inputs!$G$5</f>
        <v>0.20551679322687164</v>
      </c>
      <c r="X10">
        <f>Inputs!$I$6*E10*Inputs!$G$6</f>
        <v>0.37656981200100598</v>
      </c>
      <c r="Y10">
        <f>Inputs!$I$7*F10*Inputs!$G$7</f>
        <v>0.19972733373941395</v>
      </c>
      <c r="Z10">
        <f>Inputs!$I$8*G10*Inputs!$G$8</f>
        <v>0.76006970051755651</v>
      </c>
      <c r="AA10">
        <f>Inputs!$I$9*H10*Inputs!$G$9</f>
        <v>0.16590779367943137</v>
      </c>
      <c r="AB10">
        <f t="shared" si="0"/>
        <v>2.3796063396834293</v>
      </c>
      <c r="AD10">
        <f>Inputs!$I$2*ABS(A10-1)*Inputs!$H$2</f>
        <v>0</v>
      </c>
      <c r="AE10">
        <f>Inputs!$I$3*ABS(B10-1)*Inputs!$H$3</f>
        <v>1.1405796839520112E-2</v>
      </c>
      <c r="AF10">
        <f>Inputs!$I$4*ABS(C10-1)*Inputs!$H$4</f>
        <v>0</v>
      </c>
      <c r="AG10">
        <f>Inputs!$I$5*ABS(D10-1)*Inputs!$H$5</f>
        <v>0</v>
      </c>
      <c r="AH10">
        <f>Inputs!$I$6*ABS(E10-1)*Inputs!$H$6</f>
        <v>0</v>
      </c>
      <c r="AI10">
        <f>Inputs!$I$7*ABS(F10-1)*Inputs!$H$7</f>
        <v>0</v>
      </c>
      <c r="AJ10">
        <f>Inputs!$I$8*ABS(G10-1)*Inputs!$H$8</f>
        <v>0</v>
      </c>
      <c r="AK10">
        <f>Inputs!$I$9*ABS(H10-1)*Inputs!$H$9</f>
        <v>0</v>
      </c>
      <c r="AL10">
        <f t="shared" si="3"/>
        <v>-1.1405796839520112E-2</v>
      </c>
      <c r="AN10" s="1">
        <f t="shared" si="4"/>
        <v>2.3682005428439092</v>
      </c>
      <c r="AO10">
        <f t="shared" si="5"/>
        <v>3.9948797525272382E-2</v>
      </c>
      <c r="AP10">
        <f t="shared" si="1"/>
        <v>1.1055822731466318E-2</v>
      </c>
      <c r="AQ10" s="26">
        <f t="shared" si="6"/>
        <v>1.0206964206961568</v>
      </c>
      <c r="AR10">
        <f t="shared" si="7"/>
        <v>-1.9240256908699342E-4</v>
      </c>
    </row>
    <row r="11" spans="1:44" x14ac:dyDescent="0.25">
      <c r="A11">
        <v>1</v>
      </c>
      <c r="B11">
        <v>0</v>
      </c>
      <c r="C11">
        <v>1</v>
      </c>
      <c r="D11">
        <v>1</v>
      </c>
      <c r="E11">
        <v>0</v>
      </c>
      <c r="F11">
        <v>1</v>
      </c>
      <c r="G11">
        <v>1</v>
      </c>
      <c r="H11">
        <v>1</v>
      </c>
      <c r="J11">
        <f>(A11*Inputs!$E$2+ABS((A11-1))*(1-Inputs!$E$2))</f>
        <v>0.65</v>
      </c>
      <c r="K11">
        <f>(B11*Inputs!$E$3+ABS((B11-1))*(1-Inputs!$E$3))</f>
        <v>0.35</v>
      </c>
      <c r="L11">
        <f>(C11*Inputs!$E$4+ABS((C11-1))*(1-Inputs!$E$4))</f>
        <v>0.65</v>
      </c>
      <c r="M11">
        <f>(D11*Inputs!$E$5+ABS((D11-1))*(1-Inputs!$E$5))</f>
        <v>0.65</v>
      </c>
      <c r="N11">
        <f>(E11*Inputs!$E$6+ABS((E11-1))*(1-Inputs!$E$6))</f>
        <v>0.4</v>
      </c>
      <c r="O11">
        <f>(F11*Inputs!$E$7+ABS((F11-1))*(1-Inputs!$E$7))</f>
        <v>0.75</v>
      </c>
      <c r="P11">
        <f>(G11*Inputs!$E$8+ABS((G11-1))*(1-Inputs!$E$8))</f>
        <v>0.6</v>
      </c>
      <c r="Q11">
        <f>(H11*Inputs!$E$9+ABS((H11-1))*(1-Inputs!$E$9))</f>
        <v>0.65</v>
      </c>
      <c r="R11">
        <f t="shared" si="2"/>
        <v>1.1245893749999999E-2</v>
      </c>
      <c r="T11">
        <f>Inputs!$I$2*A11*Inputs!$G$2</f>
        <v>0.52958847736625514</v>
      </c>
      <c r="U11">
        <f>Inputs!$I$3*B11*Inputs!$G$3</f>
        <v>0</v>
      </c>
      <c r="V11">
        <f>Inputs!$I$4*C11*Inputs!$G$4</f>
        <v>0.1422264291528948</v>
      </c>
      <c r="W11">
        <f>Inputs!$I$5*D11*Inputs!$G$5</f>
        <v>0.20551679322687164</v>
      </c>
      <c r="X11">
        <f>Inputs!$I$6*E11*Inputs!$G$6</f>
        <v>0</v>
      </c>
      <c r="Y11">
        <f>Inputs!$I$7*F11*Inputs!$G$7</f>
        <v>0.19972733373941395</v>
      </c>
      <c r="Z11">
        <f>Inputs!$I$8*G11*Inputs!$G$8</f>
        <v>0.76006970051755651</v>
      </c>
      <c r="AA11">
        <f>Inputs!$I$9*H11*Inputs!$G$9</f>
        <v>0.16590779367943137</v>
      </c>
      <c r="AB11">
        <f t="shared" si="0"/>
        <v>2.0030365276824234</v>
      </c>
      <c r="AD11">
        <f>Inputs!$I$2*ABS(A11-1)*Inputs!$H$2</f>
        <v>0</v>
      </c>
      <c r="AE11">
        <f>Inputs!$I$3*ABS(B11-1)*Inputs!$H$3</f>
        <v>1.1405796839520112E-2</v>
      </c>
      <c r="AF11">
        <f>Inputs!$I$4*ABS(C11-1)*Inputs!$H$4</f>
        <v>0</v>
      </c>
      <c r="AG11">
        <f>Inputs!$I$5*ABS(D11-1)*Inputs!$H$5</f>
        <v>0</v>
      </c>
      <c r="AH11">
        <f>Inputs!$I$6*ABS(E11-1)*Inputs!$H$6</f>
        <v>6.4042485034184693E-2</v>
      </c>
      <c r="AI11">
        <f>Inputs!$I$7*ABS(F11-1)*Inputs!$H$7</f>
        <v>0</v>
      </c>
      <c r="AJ11">
        <f>Inputs!$I$8*ABS(G11-1)*Inputs!$H$8</f>
        <v>0</v>
      </c>
      <c r="AK11">
        <f>Inputs!$I$9*ABS(H11-1)*Inputs!$H$9</f>
        <v>0</v>
      </c>
      <c r="AL11">
        <f t="shared" si="3"/>
        <v>-7.5448281873704809E-2</v>
      </c>
      <c r="AN11" s="1">
        <f t="shared" si="4"/>
        <v>1.9275882458087186</v>
      </c>
      <c r="AO11">
        <f t="shared" si="5"/>
        <v>2.1677452606113732E-2</v>
      </c>
      <c r="AP11">
        <f t="shared" si="1"/>
        <v>1.5308780592613251E-3</v>
      </c>
      <c r="AQ11" s="26">
        <f t="shared" si="6"/>
        <v>1.012153361583171</v>
      </c>
      <c r="AR11">
        <f t="shared" si="7"/>
        <v>-8.4848336157173515E-4</v>
      </c>
    </row>
    <row r="12" spans="1:44" x14ac:dyDescent="0.25">
      <c r="A12">
        <v>1</v>
      </c>
      <c r="B12">
        <v>0</v>
      </c>
      <c r="C12">
        <v>1</v>
      </c>
      <c r="D12">
        <v>0</v>
      </c>
      <c r="E12">
        <v>1</v>
      </c>
      <c r="F12">
        <v>1</v>
      </c>
      <c r="G12">
        <v>1</v>
      </c>
      <c r="H12">
        <v>1</v>
      </c>
      <c r="J12">
        <f>(A12*Inputs!$E$2+ABS((A12-1))*(1-Inputs!$E$2))</f>
        <v>0.65</v>
      </c>
      <c r="K12">
        <f>(B12*Inputs!$E$3+ABS((B12-1))*(1-Inputs!$E$3))</f>
        <v>0.35</v>
      </c>
      <c r="L12">
        <f>(C12*Inputs!$E$4+ABS((C12-1))*(1-Inputs!$E$4))</f>
        <v>0.65</v>
      </c>
      <c r="M12">
        <f>(D12*Inputs!$E$5+ABS((D12-1))*(1-Inputs!$E$5))</f>
        <v>0.35</v>
      </c>
      <c r="N12">
        <f>(E12*Inputs!$E$6+ABS((E12-1))*(1-Inputs!$E$6))</f>
        <v>0.6</v>
      </c>
      <c r="O12">
        <f>(F12*Inputs!$E$7+ABS((F12-1))*(1-Inputs!$E$7))</f>
        <v>0.75</v>
      </c>
      <c r="P12">
        <f>(G12*Inputs!$E$8+ABS((G12-1))*(1-Inputs!$E$8))</f>
        <v>0.6</v>
      </c>
      <c r="Q12">
        <f>(H12*Inputs!$E$9+ABS((H12-1))*(1-Inputs!$E$9))</f>
        <v>0.65</v>
      </c>
      <c r="R12">
        <f t="shared" si="2"/>
        <v>9.0832218749999968E-3</v>
      </c>
      <c r="T12">
        <f>Inputs!$I$2*A12*Inputs!$G$2</f>
        <v>0.52958847736625514</v>
      </c>
      <c r="U12">
        <f>Inputs!$I$3*B12*Inputs!$G$3</f>
        <v>0</v>
      </c>
      <c r="V12">
        <f>Inputs!$I$4*C12*Inputs!$G$4</f>
        <v>0.1422264291528948</v>
      </c>
      <c r="W12">
        <f>Inputs!$I$5*D12*Inputs!$G$5</f>
        <v>0</v>
      </c>
      <c r="X12">
        <f>Inputs!$I$6*E12*Inputs!$G$6</f>
        <v>0.37656981200100598</v>
      </c>
      <c r="Y12">
        <f>Inputs!$I$7*F12*Inputs!$G$7</f>
        <v>0.19972733373941395</v>
      </c>
      <c r="Z12">
        <f>Inputs!$I$8*G12*Inputs!$G$8</f>
        <v>0.76006970051755651</v>
      </c>
      <c r="AA12">
        <f>Inputs!$I$9*H12*Inputs!$G$9</f>
        <v>0.16590779367943137</v>
      </c>
      <c r="AB12">
        <f t="shared" si="0"/>
        <v>2.1740895464565577</v>
      </c>
      <c r="AD12">
        <f>Inputs!$I$2*ABS(A12-1)*Inputs!$H$2</f>
        <v>0</v>
      </c>
      <c r="AE12">
        <f>Inputs!$I$3*ABS(B12-1)*Inputs!$H$3</f>
        <v>1.1405796839520112E-2</v>
      </c>
      <c r="AF12">
        <f>Inputs!$I$4*ABS(C12-1)*Inputs!$H$4</f>
        <v>0</v>
      </c>
      <c r="AG12">
        <f>Inputs!$I$5*ABS(D12-1)*Inputs!$H$5</f>
        <v>3.0032539984442563E-2</v>
      </c>
      <c r="AH12">
        <f>Inputs!$I$6*ABS(E12-1)*Inputs!$H$6</f>
        <v>0</v>
      </c>
      <c r="AI12">
        <f>Inputs!$I$7*ABS(F12-1)*Inputs!$H$7</f>
        <v>0</v>
      </c>
      <c r="AJ12">
        <f>Inputs!$I$8*ABS(G12-1)*Inputs!$H$8</f>
        <v>0</v>
      </c>
      <c r="AK12">
        <f>Inputs!$I$9*ABS(H12-1)*Inputs!$H$9</f>
        <v>0</v>
      </c>
      <c r="AL12">
        <f t="shared" si="3"/>
        <v>-4.1438336823962675E-2</v>
      </c>
      <c r="AN12" s="1">
        <f t="shared" si="4"/>
        <v>2.1326512096325949</v>
      </c>
      <c r="AO12">
        <f t="shared" si="5"/>
        <v>1.9371344119079991E-2</v>
      </c>
      <c r="AP12">
        <f t="shared" si="1"/>
        <v>2.9928901449099337E-3</v>
      </c>
      <c r="AQ12" s="26">
        <f t="shared" si="6"/>
        <v>1.0104259215527711</v>
      </c>
      <c r="AR12">
        <f t="shared" si="7"/>
        <v>-3.7639360750303566E-4</v>
      </c>
    </row>
    <row r="13" spans="1:44" x14ac:dyDescent="0.25">
      <c r="A13">
        <v>1</v>
      </c>
      <c r="B13">
        <v>0</v>
      </c>
      <c r="C13">
        <v>1</v>
      </c>
      <c r="D13">
        <v>0</v>
      </c>
      <c r="E13">
        <v>0</v>
      </c>
      <c r="F13">
        <v>1</v>
      </c>
      <c r="G13">
        <v>1</v>
      </c>
      <c r="H13">
        <v>1</v>
      </c>
      <c r="J13">
        <f>(A13*Inputs!$E$2+ABS((A13-1))*(1-Inputs!$E$2))</f>
        <v>0.65</v>
      </c>
      <c r="K13">
        <f>(B13*Inputs!$E$3+ABS((B13-1))*(1-Inputs!$E$3))</f>
        <v>0.35</v>
      </c>
      <c r="L13">
        <f>(C13*Inputs!$E$4+ABS((C13-1))*(1-Inputs!$E$4))</f>
        <v>0.65</v>
      </c>
      <c r="M13">
        <f>(D13*Inputs!$E$5+ABS((D13-1))*(1-Inputs!$E$5))</f>
        <v>0.35</v>
      </c>
      <c r="N13">
        <f>(E13*Inputs!$E$6+ABS((E13-1))*(1-Inputs!$E$6))</f>
        <v>0.4</v>
      </c>
      <c r="O13">
        <f>(F13*Inputs!$E$7+ABS((F13-1))*(1-Inputs!$E$7))</f>
        <v>0.75</v>
      </c>
      <c r="P13">
        <f>(G13*Inputs!$E$8+ABS((G13-1))*(1-Inputs!$E$8))</f>
        <v>0.6</v>
      </c>
      <c r="Q13">
        <f>(H13*Inputs!$E$9+ABS((H13-1))*(1-Inputs!$E$9))</f>
        <v>0.65</v>
      </c>
      <c r="R13">
        <f t="shared" si="2"/>
        <v>6.0554812500000004E-3</v>
      </c>
      <c r="T13">
        <f>Inputs!$I$2*A13*Inputs!$G$2</f>
        <v>0.52958847736625514</v>
      </c>
      <c r="U13">
        <f>Inputs!$I$3*B13*Inputs!$G$3</f>
        <v>0</v>
      </c>
      <c r="V13">
        <f>Inputs!$I$4*C13*Inputs!$G$4</f>
        <v>0.1422264291528948</v>
      </c>
      <c r="W13">
        <f>Inputs!$I$5*D13*Inputs!$G$5</f>
        <v>0</v>
      </c>
      <c r="X13">
        <f>Inputs!$I$6*E13*Inputs!$G$6</f>
        <v>0</v>
      </c>
      <c r="Y13">
        <f>Inputs!$I$7*F13*Inputs!$G$7</f>
        <v>0.19972733373941395</v>
      </c>
      <c r="Z13">
        <f>Inputs!$I$8*G13*Inputs!$G$8</f>
        <v>0.76006970051755651</v>
      </c>
      <c r="AA13">
        <f>Inputs!$I$9*H13*Inputs!$G$9</f>
        <v>0.16590779367943137</v>
      </c>
      <c r="AB13">
        <f t="shared" si="0"/>
        <v>1.7975197344555518</v>
      </c>
      <c r="AD13">
        <f>Inputs!$I$2*ABS(A13-1)*Inputs!$H$2</f>
        <v>0</v>
      </c>
      <c r="AE13">
        <f>Inputs!$I$3*ABS(B13-1)*Inputs!$H$3</f>
        <v>1.1405796839520112E-2</v>
      </c>
      <c r="AF13">
        <f>Inputs!$I$4*ABS(C13-1)*Inputs!$H$4</f>
        <v>0</v>
      </c>
      <c r="AG13">
        <f>Inputs!$I$5*ABS(D13-1)*Inputs!$H$5</f>
        <v>3.0032539984442563E-2</v>
      </c>
      <c r="AH13">
        <f>Inputs!$I$6*ABS(E13-1)*Inputs!$H$6</f>
        <v>6.4042485034184693E-2</v>
      </c>
      <c r="AI13">
        <f>Inputs!$I$7*ABS(F13-1)*Inputs!$H$7</f>
        <v>0</v>
      </c>
      <c r="AJ13">
        <f>Inputs!$I$8*ABS(G13-1)*Inputs!$H$8</f>
        <v>0</v>
      </c>
      <c r="AK13">
        <f>Inputs!$I$9*ABS(H13-1)*Inputs!$H$9</f>
        <v>0</v>
      </c>
      <c r="AL13">
        <f t="shared" si="3"/>
        <v>-0.10548082185814736</v>
      </c>
      <c r="AN13" s="1">
        <f t="shared" si="4"/>
        <v>1.6920389125974045</v>
      </c>
      <c r="AO13">
        <f t="shared" si="5"/>
        <v>1.0246109909503972E-2</v>
      </c>
      <c r="AP13">
        <f t="shared" si="1"/>
        <v>1.0776971345249906E-4</v>
      </c>
      <c r="AQ13" s="26">
        <f t="shared" si="6"/>
        <v>1.0060147526363423</v>
      </c>
      <c r="AR13">
        <f t="shared" si="7"/>
        <v>-6.3873713899660156E-4</v>
      </c>
    </row>
    <row r="14" spans="1:44" x14ac:dyDescent="0.25">
      <c r="A14">
        <v>1</v>
      </c>
      <c r="B14">
        <v>0</v>
      </c>
      <c r="C14">
        <v>0</v>
      </c>
      <c r="D14">
        <v>1</v>
      </c>
      <c r="E14">
        <v>1</v>
      </c>
      <c r="F14">
        <v>1</v>
      </c>
      <c r="G14">
        <v>1</v>
      </c>
      <c r="H14">
        <v>1</v>
      </c>
      <c r="J14">
        <f>(A14*Inputs!$E$2+ABS((A14-1))*(1-Inputs!$E$2))</f>
        <v>0.65</v>
      </c>
      <c r="K14">
        <f>(B14*Inputs!$E$3+ABS((B14-1))*(1-Inputs!$E$3))</f>
        <v>0.35</v>
      </c>
      <c r="L14">
        <f>(C14*Inputs!$E$4+ABS((C14-1))*(1-Inputs!$E$4))</f>
        <v>0.35</v>
      </c>
      <c r="M14">
        <f>(D14*Inputs!$E$5+ABS((D14-1))*(1-Inputs!$E$5))</f>
        <v>0.65</v>
      </c>
      <c r="N14">
        <f>(E14*Inputs!$E$6+ABS((E14-1))*(1-Inputs!$E$6))</f>
        <v>0.6</v>
      </c>
      <c r="O14">
        <f>(F14*Inputs!$E$7+ABS((F14-1))*(1-Inputs!$E$7))</f>
        <v>0.75</v>
      </c>
      <c r="P14">
        <f>(G14*Inputs!$E$8+ABS((G14-1))*(1-Inputs!$E$8))</f>
        <v>0.6</v>
      </c>
      <c r="Q14">
        <f>(H14*Inputs!$E$9+ABS((H14-1))*(1-Inputs!$E$9))</f>
        <v>0.65</v>
      </c>
      <c r="R14">
        <f t="shared" si="2"/>
        <v>9.0832218750000002E-3</v>
      </c>
      <c r="T14">
        <f>Inputs!$I$2*A14*Inputs!$G$2</f>
        <v>0.52958847736625514</v>
      </c>
      <c r="U14">
        <f>Inputs!$I$3*B14*Inputs!$G$3</f>
        <v>0</v>
      </c>
      <c r="V14">
        <f>Inputs!$I$4*C14*Inputs!$G$4</f>
        <v>0</v>
      </c>
      <c r="W14">
        <f>Inputs!$I$5*D14*Inputs!$G$5</f>
        <v>0.20551679322687164</v>
      </c>
      <c r="X14">
        <f>Inputs!$I$6*E14*Inputs!$G$6</f>
        <v>0.37656981200100598</v>
      </c>
      <c r="Y14">
        <f>Inputs!$I$7*F14*Inputs!$G$7</f>
        <v>0.19972733373941395</v>
      </c>
      <c r="Z14">
        <f>Inputs!$I$8*G14*Inputs!$G$8</f>
        <v>0.76006970051755651</v>
      </c>
      <c r="AA14">
        <f>Inputs!$I$9*H14*Inputs!$G$9</f>
        <v>0.16590779367943137</v>
      </c>
      <c r="AB14">
        <f t="shared" si="0"/>
        <v>2.2373799105305343</v>
      </c>
      <c r="AD14">
        <f>Inputs!$I$2*ABS(A14-1)*Inputs!$H$2</f>
        <v>0</v>
      </c>
      <c r="AE14">
        <f>Inputs!$I$3*ABS(B14-1)*Inputs!$H$3</f>
        <v>1.1405796839520112E-2</v>
      </c>
      <c r="AF14">
        <f>Inputs!$I$4*ABS(C14-1)*Inputs!$H$4</f>
        <v>8.9678988679000853E-3</v>
      </c>
      <c r="AG14">
        <f>Inputs!$I$5*ABS(D14-1)*Inputs!$H$5</f>
        <v>0</v>
      </c>
      <c r="AH14">
        <f>Inputs!$I$6*ABS(E14-1)*Inputs!$H$6</f>
        <v>0</v>
      </c>
      <c r="AI14">
        <f>Inputs!$I$7*ABS(F14-1)*Inputs!$H$7</f>
        <v>0</v>
      </c>
      <c r="AJ14">
        <f>Inputs!$I$8*ABS(G14-1)*Inputs!$H$8</f>
        <v>0</v>
      </c>
      <c r="AK14">
        <f>Inputs!$I$9*ABS(H14-1)*Inputs!$H$9</f>
        <v>0</v>
      </c>
      <c r="AL14">
        <f t="shared" si="3"/>
        <v>-2.0373695707420196E-2</v>
      </c>
      <c r="AN14" s="1">
        <f t="shared" si="4"/>
        <v>2.217006214823114</v>
      </c>
      <c r="AO14">
        <f t="shared" si="5"/>
        <v>2.013755934749226E-2</v>
      </c>
      <c r="AP14">
        <f t="shared" si="1"/>
        <v>3.9371667293572419E-3</v>
      </c>
      <c r="AQ14" s="26">
        <f t="shared" si="6"/>
        <v>1.0106698221822938</v>
      </c>
      <c r="AR14">
        <f t="shared" si="7"/>
        <v>-1.8505879852423273E-4</v>
      </c>
    </row>
    <row r="15" spans="1:44" x14ac:dyDescent="0.25">
      <c r="A15">
        <v>1</v>
      </c>
      <c r="B15">
        <v>0</v>
      </c>
      <c r="C15">
        <v>0</v>
      </c>
      <c r="D15">
        <v>1</v>
      </c>
      <c r="E15">
        <v>0</v>
      </c>
      <c r="F15">
        <v>1</v>
      </c>
      <c r="G15">
        <v>1</v>
      </c>
      <c r="H15">
        <v>1</v>
      </c>
      <c r="J15">
        <f>(A15*Inputs!$E$2+ABS((A15-1))*(1-Inputs!$E$2))</f>
        <v>0.65</v>
      </c>
      <c r="K15">
        <f>(B15*Inputs!$E$3+ABS((B15-1))*(1-Inputs!$E$3))</f>
        <v>0.35</v>
      </c>
      <c r="L15">
        <f>(C15*Inputs!$E$4+ABS((C15-1))*(1-Inputs!$E$4))</f>
        <v>0.35</v>
      </c>
      <c r="M15">
        <f>(D15*Inputs!$E$5+ABS((D15-1))*(1-Inputs!$E$5))</f>
        <v>0.65</v>
      </c>
      <c r="N15">
        <f>(E15*Inputs!$E$6+ABS((E15-1))*(1-Inputs!$E$6))</f>
        <v>0.4</v>
      </c>
      <c r="O15">
        <f>(F15*Inputs!$E$7+ABS((F15-1))*(1-Inputs!$E$7))</f>
        <v>0.75</v>
      </c>
      <c r="P15">
        <f>(G15*Inputs!$E$8+ABS((G15-1))*(1-Inputs!$E$8))</f>
        <v>0.6</v>
      </c>
      <c r="Q15">
        <f>(H15*Inputs!$E$9+ABS((H15-1))*(1-Inputs!$E$9))</f>
        <v>0.65</v>
      </c>
      <c r="R15">
        <f t="shared" si="2"/>
        <v>6.0554812500000004E-3</v>
      </c>
      <c r="T15">
        <f>Inputs!$I$2*A15*Inputs!$G$2</f>
        <v>0.52958847736625514</v>
      </c>
      <c r="U15">
        <f>Inputs!$I$3*B15*Inputs!$G$3</f>
        <v>0</v>
      </c>
      <c r="V15">
        <f>Inputs!$I$4*C15*Inputs!$G$4</f>
        <v>0</v>
      </c>
      <c r="W15">
        <f>Inputs!$I$5*D15*Inputs!$G$5</f>
        <v>0.20551679322687164</v>
      </c>
      <c r="X15">
        <f>Inputs!$I$6*E15*Inputs!$G$6</f>
        <v>0</v>
      </c>
      <c r="Y15">
        <f>Inputs!$I$7*F15*Inputs!$G$7</f>
        <v>0.19972733373941395</v>
      </c>
      <c r="Z15">
        <f>Inputs!$I$8*G15*Inputs!$G$8</f>
        <v>0.76006970051755651</v>
      </c>
      <c r="AA15">
        <f>Inputs!$I$9*H15*Inputs!$G$9</f>
        <v>0.16590779367943137</v>
      </c>
      <c r="AB15">
        <f t="shared" si="0"/>
        <v>1.8608100985295286</v>
      </c>
      <c r="AD15">
        <f>Inputs!$I$2*ABS(A15-1)*Inputs!$H$2</f>
        <v>0</v>
      </c>
      <c r="AE15">
        <f>Inputs!$I$3*ABS(B15-1)*Inputs!$H$3</f>
        <v>1.1405796839520112E-2</v>
      </c>
      <c r="AF15">
        <f>Inputs!$I$4*ABS(C15-1)*Inputs!$H$4</f>
        <v>8.9678988679000853E-3</v>
      </c>
      <c r="AG15">
        <f>Inputs!$I$5*ABS(D15-1)*Inputs!$H$5</f>
        <v>0</v>
      </c>
      <c r="AH15">
        <f>Inputs!$I$6*ABS(E15-1)*Inputs!$H$6</f>
        <v>6.4042485034184693E-2</v>
      </c>
      <c r="AI15">
        <f>Inputs!$I$7*ABS(F15-1)*Inputs!$H$7</f>
        <v>0</v>
      </c>
      <c r="AJ15">
        <f>Inputs!$I$8*ABS(G15-1)*Inputs!$H$8</f>
        <v>0</v>
      </c>
      <c r="AK15">
        <f>Inputs!$I$9*ABS(H15-1)*Inputs!$H$9</f>
        <v>0</v>
      </c>
      <c r="AL15">
        <f t="shared" si="3"/>
        <v>-8.4416180741604896E-2</v>
      </c>
      <c r="AN15" s="1">
        <f t="shared" si="4"/>
        <v>1.7763939177879238</v>
      </c>
      <c r="AO15">
        <f t="shared" si="5"/>
        <v>1.0756920061778814E-2</v>
      </c>
      <c r="AP15">
        <f t="shared" si="1"/>
        <v>2.8714896733194473E-4</v>
      </c>
      <c r="AQ15" s="26">
        <f t="shared" si="6"/>
        <v>1.0062027301955063</v>
      </c>
      <c r="AR15">
        <f t="shared" si="7"/>
        <v>-5.1118059967739961E-4</v>
      </c>
    </row>
    <row r="16" spans="1:44" x14ac:dyDescent="0.25">
      <c r="A16">
        <v>1</v>
      </c>
      <c r="B16">
        <v>0</v>
      </c>
      <c r="C16">
        <v>0</v>
      </c>
      <c r="D16">
        <v>0</v>
      </c>
      <c r="E16">
        <v>1</v>
      </c>
      <c r="F16">
        <v>1</v>
      </c>
      <c r="G16">
        <v>1</v>
      </c>
      <c r="H16">
        <v>1</v>
      </c>
      <c r="J16">
        <f>(A16*Inputs!$E$2+ABS((A16-1))*(1-Inputs!$E$2))</f>
        <v>0.65</v>
      </c>
      <c r="K16">
        <f>(B16*Inputs!$E$3+ABS((B16-1))*(1-Inputs!$E$3))</f>
        <v>0.35</v>
      </c>
      <c r="L16">
        <f>(C16*Inputs!$E$4+ABS((C16-1))*(1-Inputs!$E$4))</f>
        <v>0.35</v>
      </c>
      <c r="M16">
        <f>(D16*Inputs!$E$5+ABS((D16-1))*(1-Inputs!$E$5))</f>
        <v>0.35</v>
      </c>
      <c r="N16">
        <f>(E16*Inputs!$E$6+ABS((E16-1))*(1-Inputs!$E$6))</f>
        <v>0.6</v>
      </c>
      <c r="O16">
        <f>(F16*Inputs!$E$7+ABS((F16-1))*(1-Inputs!$E$7))</f>
        <v>0.75</v>
      </c>
      <c r="P16">
        <f>(G16*Inputs!$E$8+ABS((G16-1))*(1-Inputs!$E$8))</f>
        <v>0.6</v>
      </c>
      <c r="Q16">
        <f>(H16*Inputs!$E$9+ABS((H16-1))*(1-Inputs!$E$9))</f>
        <v>0.65</v>
      </c>
      <c r="R16">
        <f t="shared" si="2"/>
        <v>4.8909656249999994E-3</v>
      </c>
      <c r="T16">
        <f>Inputs!$I$2*A16*Inputs!$G$2</f>
        <v>0.52958847736625514</v>
      </c>
      <c r="U16">
        <f>Inputs!$I$3*B16*Inputs!$G$3</f>
        <v>0</v>
      </c>
      <c r="V16">
        <f>Inputs!$I$4*C16*Inputs!$G$4</f>
        <v>0</v>
      </c>
      <c r="W16">
        <f>Inputs!$I$5*D16*Inputs!$G$5</f>
        <v>0</v>
      </c>
      <c r="X16">
        <f>Inputs!$I$6*E16*Inputs!$G$6</f>
        <v>0.37656981200100598</v>
      </c>
      <c r="Y16">
        <f>Inputs!$I$7*F16*Inputs!$G$7</f>
        <v>0.19972733373941395</v>
      </c>
      <c r="Z16">
        <f>Inputs!$I$8*G16*Inputs!$G$8</f>
        <v>0.76006970051755651</v>
      </c>
      <c r="AA16">
        <f>Inputs!$I$9*H16*Inputs!$G$9</f>
        <v>0.16590779367943137</v>
      </c>
      <c r="AB16">
        <f t="shared" si="0"/>
        <v>2.0318631173036628</v>
      </c>
      <c r="AD16">
        <f>Inputs!$I$2*ABS(A16-1)*Inputs!$H$2</f>
        <v>0</v>
      </c>
      <c r="AE16">
        <f>Inputs!$I$3*ABS(B16-1)*Inputs!$H$3</f>
        <v>1.1405796839520112E-2</v>
      </c>
      <c r="AF16">
        <f>Inputs!$I$4*ABS(C16-1)*Inputs!$H$4</f>
        <v>8.9678988679000853E-3</v>
      </c>
      <c r="AG16">
        <f>Inputs!$I$5*ABS(D16-1)*Inputs!$H$5</f>
        <v>3.0032539984442563E-2</v>
      </c>
      <c r="AH16">
        <f>Inputs!$I$6*ABS(E16-1)*Inputs!$H$6</f>
        <v>0</v>
      </c>
      <c r="AI16">
        <f>Inputs!$I$7*ABS(F16-1)*Inputs!$H$7</f>
        <v>0</v>
      </c>
      <c r="AJ16">
        <f>Inputs!$I$8*ABS(G16-1)*Inputs!$H$8</f>
        <v>0</v>
      </c>
      <c r="AK16">
        <f>Inputs!$I$9*ABS(H16-1)*Inputs!$H$9</f>
        <v>0</v>
      </c>
      <c r="AL16">
        <f t="shared" si="3"/>
        <v>-5.0406235691862755E-2</v>
      </c>
      <c r="AN16" s="1">
        <f t="shared" si="4"/>
        <v>1.9814568816118001</v>
      </c>
      <c r="AO16">
        <f t="shared" si="5"/>
        <v>9.6912374953830073E-3</v>
      </c>
      <c r="AP16">
        <f t="shared" si="1"/>
        <v>8.7440567612880916E-4</v>
      </c>
      <c r="AQ16" s="26">
        <f t="shared" si="6"/>
        <v>1.0053572488820859</v>
      </c>
      <c r="AR16">
        <f t="shared" si="7"/>
        <v>-2.4653516605454878E-4</v>
      </c>
    </row>
    <row r="17" spans="1:44" x14ac:dyDescent="0.25">
      <c r="A17">
        <v>1</v>
      </c>
      <c r="B17">
        <v>0</v>
      </c>
      <c r="C17">
        <v>0</v>
      </c>
      <c r="D17">
        <v>0</v>
      </c>
      <c r="E17">
        <v>0</v>
      </c>
      <c r="F17">
        <v>1</v>
      </c>
      <c r="G17">
        <v>1</v>
      </c>
      <c r="H17">
        <v>1</v>
      </c>
      <c r="J17">
        <f>(A17*Inputs!$E$2+ABS((A17-1))*(1-Inputs!$E$2))</f>
        <v>0.65</v>
      </c>
      <c r="K17">
        <f>(B17*Inputs!$E$3+ABS((B17-1))*(1-Inputs!$E$3))</f>
        <v>0.35</v>
      </c>
      <c r="L17">
        <f>(C17*Inputs!$E$4+ABS((C17-1))*(1-Inputs!$E$4))</f>
        <v>0.35</v>
      </c>
      <c r="M17">
        <f>(D17*Inputs!$E$5+ABS((D17-1))*(1-Inputs!$E$5))</f>
        <v>0.35</v>
      </c>
      <c r="N17">
        <f>(E17*Inputs!$E$6+ABS((E17-1))*(1-Inputs!$E$6))</f>
        <v>0.4</v>
      </c>
      <c r="O17">
        <f>(F17*Inputs!$E$7+ABS((F17-1))*(1-Inputs!$E$7))</f>
        <v>0.75</v>
      </c>
      <c r="P17">
        <f>(G17*Inputs!$E$8+ABS((G17-1))*(1-Inputs!$E$8))</f>
        <v>0.6</v>
      </c>
      <c r="Q17">
        <f>(H17*Inputs!$E$9+ABS((H17-1))*(1-Inputs!$E$9))</f>
        <v>0.65</v>
      </c>
      <c r="R17">
        <f t="shared" si="2"/>
        <v>3.2606437499999997E-3</v>
      </c>
      <c r="T17">
        <f>Inputs!$I$2*A17*Inputs!$G$2</f>
        <v>0.52958847736625514</v>
      </c>
      <c r="U17">
        <f>Inputs!$I$3*B17*Inputs!$G$3</f>
        <v>0</v>
      </c>
      <c r="V17">
        <f>Inputs!$I$4*C17*Inputs!$G$4</f>
        <v>0</v>
      </c>
      <c r="W17">
        <f>Inputs!$I$5*D17*Inputs!$G$5</f>
        <v>0</v>
      </c>
      <c r="X17">
        <f>Inputs!$I$6*E17*Inputs!$G$6</f>
        <v>0</v>
      </c>
      <c r="Y17">
        <f>Inputs!$I$7*F17*Inputs!$G$7</f>
        <v>0.19972733373941395</v>
      </c>
      <c r="Z17">
        <f>Inputs!$I$8*G17*Inputs!$G$8</f>
        <v>0.76006970051755651</v>
      </c>
      <c r="AA17">
        <f>Inputs!$I$9*H17*Inputs!$G$9</f>
        <v>0.16590779367943137</v>
      </c>
      <c r="AB17">
        <f t="shared" si="0"/>
        <v>1.6552933053026568</v>
      </c>
      <c r="AD17">
        <f>Inputs!$I$2*ABS(A17-1)*Inputs!$H$2</f>
        <v>0</v>
      </c>
      <c r="AE17">
        <f>Inputs!$I$3*ABS(B17-1)*Inputs!$H$3</f>
        <v>1.1405796839520112E-2</v>
      </c>
      <c r="AF17">
        <f>Inputs!$I$4*ABS(C17-1)*Inputs!$H$4</f>
        <v>8.9678988679000853E-3</v>
      </c>
      <c r="AG17">
        <f>Inputs!$I$5*ABS(D17-1)*Inputs!$H$5</f>
        <v>3.0032539984442563E-2</v>
      </c>
      <c r="AH17">
        <f>Inputs!$I$6*ABS(E17-1)*Inputs!$H$6</f>
        <v>6.4042485034184693E-2</v>
      </c>
      <c r="AI17">
        <f>Inputs!$I$7*ABS(F17-1)*Inputs!$H$7</f>
        <v>0</v>
      </c>
      <c r="AJ17">
        <f>Inputs!$I$8*ABS(G17-1)*Inputs!$H$8</f>
        <v>0</v>
      </c>
      <c r="AK17">
        <f>Inputs!$I$9*ABS(H17-1)*Inputs!$H$9</f>
        <v>0</v>
      </c>
      <c r="AL17">
        <f t="shared" si="3"/>
        <v>-0.11444872072604745</v>
      </c>
      <c r="AN17" s="1">
        <f t="shared" si="4"/>
        <v>1.5408445845766094</v>
      </c>
      <c r="AO17">
        <f t="shared" si="5"/>
        <v>5.0241452644210673E-3</v>
      </c>
      <c r="AP17">
        <f t="shared" si="1"/>
        <v>1.0317953478265913E-6</v>
      </c>
      <c r="AQ17" s="26">
        <f t="shared" si="6"/>
        <v>1.0030451661402127</v>
      </c>
      <c r="AR17">
        <f t="shared" si="7"/>
        <v>-3.7317650593088206E-4</v>
      </c>
    </row>
    <row r="18" spans="1:44" x14ac:dyDescent="0.25">
      <c r="A18">
        <v>0</v>
      </c>
      <c r="B18">
        <v>1</v>
      </c>
      <c r="C18">
        <v>1</v>
      </c>
      <c r="D18">
        <v>1</v>
      </c>
      <c r="E18">
        <v>1</v>
      </c>
      <c r="F18">
        <v>1</v>
      </c>
      <c r="G18">
        <v>1</v>
      </c>
      <c r="H18">
        <v>1</v>
      </c>
      <c r="J18">
        <f>(A18*Inputs!$E$2+ABS((A18-1))*(1-Inputs!$E$2))</f>
        <v>0.35</v>
      </c>
      <c r="K18">
        <f>(B18*Inputs!$E$3+ABS((B18-1))*(1-Inputs!$E$3))</f>
        <v>0.65</v>
      </c>
      <c r="L18">
        <f>(C18*Inputs!$E$4+ABS((C18-1))*(1-Inputs!$E$4))</f>
        <v>0.65</v>
      </c>
      <c r="M18">
        <f>(D18*Inputs!$E$5+ABS((D18-1))*(1-Inputs!$E$5))</f>
        <v>0.65</v>
      </c>
      <c r="N18">
        <f>(E18*Inputs!$E$6+ABS((E18-1))*(1-Inputs!$E$6))</f>
        <v>0.6</v>
      </c>
      <c r="O18">
        <f>(F18*Inputs!$E$7+ABS((F18-1))*(1-Inputs!$E$7))</f>
        <v>0.75</v>
      </c>
      <c r="P18">
        <f>(G18*Inputs!$E$8+ABS((G18-1))*(1-Inputs!$E$8))</f>
        <v>0.6</v>
      </c>
      <c r="Q18">
        <f>(H18*Inputs!$E$9+ABS((H18-1))*(1-Inputs!$E$9))</f>
        <v>0.65</v>
      </c>
      <c r="R18">
        <f t="shared" si="2"/>
        <v>1.6868840624999996E-2</v>
      </c>
      <c r="T18">
        <f>Inputs!$I$2*A18*Inputs!$G$2</f>
        <v>0</v>
      </c>
      <c r="U18">
        <f>Inputs!$I$3*B18*Inputs!$G$3</f>
        <v>0.20645773829738062</v>
      </c>
      <c r="V18">
        <f>Inputs!$I$4*C18*Inputs!$G$4</f>
        <v>0.1422264291528948</v>
      </c>
      <c r="W18">
        <f>Inputs!$I$5*D18*Inputs!$G$5</f>
        <v>0.20551679322687164</v>
      </c>
      <c r="X18">
        <f>Inputs!$I$6*E18*Inputs!$G$6</f>
        <v>0.37656981200100598</v>
      </c>
      <c r="Y18">
        <f>Inputs!$I$7*F18*Inputs!$G$7</f>
        <v>0.19972733373941395</v>
      </c>
      <c r="Z18">
        <f>Inputs!$I$8*G18*Inputs!$G$8</f>
        <v>0.76006970051755651</v>
      </c>
      <c r="AA18">
        <f>Inputs!$I$9*H18*Inputs!$G$9</f>
        <v>0.16590779367943137</v>
      </c>
      <c r="AB18">
        <f t="shared" si="0"/>
        <v>2.0564756006145548</v>
      </c>
      <c r="AD18">
        <f>Inputs!$I$2*ABS(A18-1)*Inputs!$H$2</f>
        <v>3.0082304526748989E-2</v>
      </c>
      <c r="AE18">
        <f>Inputs!$I$3*ABS(B18-1)*Inputs!$H$3</f>
        <v>0</v>
      </c>
      <c r="AF18">
        <f>Inputs!$I$4*ABS(C18-1)*Inputs!$H$4</f>
        <v>0</v>
      </c>
      <c r="AG18">
        <f>Inputs!$I$5*ABS(D18-1)*Inputs!$H$5</f>
        <v>0</v>
      </c>
      <c r="AH18">
        <f>Inputs!$I$6*ABS(E18-1)*Inputs!$H$6</f>
        <v>0</v>
      </c>
      <c r="AI18">
        <f>Inputs!$I$7*ABS(F18-1)*Inputs!$H$7</f>
        <v>0</v>
      </c>
      <c r="AJ18">
        <f>Inputs!$I$8*ABS(G18-1)*Inputs!$H$8</f>
        <v>0</v>
      </c>
      <c r="AK18">
        <f>Inputs!$I$9*ABS(H18-1)*Inputs!$H$9</f>
        <v>0</v>
      </c>
      <c r="AL18">
        <f t="shared" si="3"/>
        <v>-3.0082304526748989E-2</v>
      </c>
      <c r="AN18" s="1">
        <f t="shared" si="4"/>
        <v>2.0263932960878059</v>
      </c>
      <c r="AO18">
        <f t="shared" si="5"/>
        <v>3.4182905555273625E-2</v>
      </c>
      <c r="AP18">
        <f t="shared" si="1"/>
        <v>3.6908921068161209E-3</v>
      </c>
      <c r="AQ18" s="26">
        <f t="shared" si="6"/>
        <v>1.0188556387565717</v>
      </c>
      <c r="AR18">
        <f t="shared" si="7"/>
        <v>-5.0745360069444465E-4</v>
      </c>
    </row>
    <row r="19" spans="1:44" x14ac:dyDescent="0.25">
      <c r="A19">
        <v>0</v>
      </c>
      <c r="B19">
        <v>1</v>
      </c>
      <c r="C19">
        <v>1</v>
      </c>
      <c r="D19">
        <v>1</v>
      </c>
      <c r="E19">
        <v>0</v>
      </c>
      <c r="F19">
        <v>1</v>
      </c>
      <c r="G19">
        <v>1</v>
      </c>
      <c r="H19">
        <v>1</v>
      </c>
      <c r="J19">
        <f>(A19*Inputs!$E$2+ABS((A19-1))*(1-Inputs!$E$2))</f>
        <v>0.35</v>
      </c>
      <c r="K19">
        <f>(B19*Inputs!$E$3+ABS((B19-1))*(1-Inputs!$E$3))</f>
        <v>0.65</v>
      </c>
      <c r="L19">
        <f>(C19*Inputs!$E$4+ABS((C19-1))*(1-Inputs!$E$4))</f>
        <v>0.65</v>
      </c>
      <c r="M19">
        <f>(D19*Inputs!$E$5+ABS((D19-1))*(1-Inputs!$E$5))</f>
        <v>0.65</v>
      </c>
      <c r="N19">
        <f>(E19*Inputs!$E$6+ABS((E19-1))*(1-Inputs!$E$6))</f>
        <v>0.4</v>
      </c>
      <c r="O19">
        <f>(F19*Inputs!$E$7+ABS((F19-1))*(1-Inputs!$E$7))</f>
        <v>0.75</v>
      </c>
      <c r="P19">
        <f>(G19*Inputs!$E$8+ABS((G19-1))*(1-Inputs!$E$8))</f>
        <v>0.6</v>
      </c>
      <c r="Q19">
        <f>(H19*Inputs!$E$9+ABS((H19-1))*(1-Inputs!$E$9))</f>
        <v>0.65</v>
      </c>
      <c r="R19">
        <f t="shared" si="2"/>
        <v>1.1245893749999999E-2</v>
      </c>
      <c r="T19">
        <f>Inputs!$I$2*A19*Inputs!$G$2</f>
        <v>0</v>
      </c>
      <c r="U19">
        <f>Inputs!$I$3*B19*Inputs!$G$3</f>
        <v>0.20645773829738062</v>
      </c>
      <c r="V19">
        <f>Inputs!$I$4*C19*Inputs!$G$4</f>
        <v>0.1422264291528948</v>
      </c>
      <c r="W19">
        <f>Inputs!$I$5*D19*Inputs!$G$5</f>
        <v>0.20551679322687164</v>
      </c>
      <c r="X19">
        <f>Inputs!$I$6*E19*Inputs!$G$6</f>
        <v>0</v>
      </c>
      <c r="Y19">
        <f>Inputs!$I$7*F19*Inputs!$G$7</f>
        <v>0.19972733373941395</v>
      </c>
      <c r="Z19">
        <f>Inputs!$I$8*G19*Inputs!$G$8</f>
        <v>0.76006970051755651</v>
      </c>
      <c r="AA19">
        <f>Inputs!$I$9*H19*Inputs!$G$9</f>
        <v>0.16590779367943137</v>
      </c>
      <c r="AB19">
        <f t="shared" si="0"/>
        <v>1.6799057886135489</v>
      </c>
      <c r="AD19">
        <f>Inputs!$I$2*ABS(A19-1)*Inputs!$H$2</f>
        <v>3.0082304526748989E-2</v>
      </c>
      <c r="AE19">
        <f>Inputs!$I$3*ABS(B19-1)*Inputs!$H$3</f>
        <v>0</v>
      </c>
      <c r="AF19">
        <f>Inputs!$I$4*ABS(C19-1)*Inputs!$H$4</f>
        <v>0</v>
      </c>
      <c r="AG19">
        <f>Inputs!$I$5*ABS(D19-1)*Inputs!$H$5</f>
        <v>0</v>
      </c>
      <c r="AH19">
        <f>Inputs!$I$6*ABS(E19-1)*Inputs!$H$6</f>
        <v>6.4042485034184693E-2</v>
      </c>
      <c r="AI19">
        <f>Inputs!$I$7*ABS(F19-1)*Inputs!$H$7</f>
        <v>0</v>
      </c>
      <c r="AJ19">
        <f>Inputs!$I$8*ABS(G19-1)*Inputs!$H$8</f>
        <v>0</v>
      </c>
      <c r="AK19">
        <f>Inputs!$I$9*ABS(H19-1)*Inputs!$H$9</f>
        <v>0</v>
      </c>
      <c r="AL19">
        <f t="shared" si="3"/>
        <v>-9.4124789560933675E-2</v>
      </c>
      <c r="AN19" s="1">
        <f t="shared" si="4"/>
        <v>1.5857809990526153</v>
      </c>
      <c r="AO19">
        <f t="shared" si="5"/>
        <v>1.7833524626114559E-2</v>
      </c>
      <c r="AP19">
        <f t="shared" si="1"/>
        <v>8.2881833050747316E-6</v>
      </c>
      <c r="AQ19" s="26">
        <f t="shared" si="6"/>
        <v>1.0107411860899289</v>
      </c>
      <c r="AR19">
        <f t="shared" si="7"/>
        <v>-1.0585173826433692E-3</v>
      </c>
    </row>
    <row r="20" spans="1:44" x14ac:dyDescent="0.25">
      <c r="A20">
        <v>0</v>
      </c>
      <c r="B20">
        <v>1</v>
      </c>
      <c r="C20">
        <v>1</v>
      </c>
      <c r="D20">
        <v>0</v>
      </c>
      <c r="E20">
        <v>1</v>
      </c>
      <c r="F20">
        <v>1</v>
      </c>
      <c r="G20">
        <v>1</v>
      </c>
      <c r="H20">
        <v>1</v>
      </c>
      <c r="J20">
        <f>(A20*Inputs!$E$2+ABS((A20-1))*(1-Inputs!$E$2))</f>
        <v>0.35</v>
      </c>
      <c r="K20">
        <f>(B20*Inputs!$E$3+ABS((B20-1))*(1-Inputs!$E$3))</f>
        <v>0.65</v>
      </c>
      <c r="L20">
        <f>(C20*Inputs!$E$4+ABS((C20-1))*(1-Inputs!$E$4))</f>
        <v>0.65</v>
      </c>
      <c r="M20">
        <f>(D20*Inputs!$E$5+ABS((D20-1))*(1-Inputs!$E$5))</f>
        <v>0.35</v>
      </c>
      <c r="N20">
        <f>(E20*Inputs!$E$6+ABS((E20-1))*(1-Inputs!$E$6))</f>
        <v>0.6</v>
      </c>
      <c r="O20">
        <f>(F20*Inputs!$E$7+ABS((F20-1))*(1-Inputs!$E$7))</f>
        <v>0.75</v>
      </c>
      <c r="P20">
        <f>(G20*Inputs!$E$8+ABS((G20-1))*(1-Inputs!$E$8))</f>
        <v>0.6</v>
      </c>
      <c r="Q20">
        <f>(H20*Inputs!$E$9+ABS((H20-1))*(1-Inputs!$E$9))</f>
        <v>0.65</v>
      </c>
      <c r="R20">
        <f t="shared" si="2"/>
        <v>9.0832218749999968E-3</v>
      </c>
      <c r="T20">
        <f>Inputs!$I$2*A20*Inputs!$G$2</f>
        <v>0</v>
      </c>
      <c r="U20">
        <f>Inputs!$I$3*B20*Inputs!$G$3</f>
        <v>0.20645773829738062</v>
      </c>
      <c r="V20">
        <f>Inputs!$I$4*C20*Inputs!$G$4</f>
        <v>0.1422264291528948</v>
      </c>
      <c r="W20">
        <f>Inputs!$I$5*D20*Inputs!$G$5</f>
        <v>0</v>
      </c>
      <c r="X20">
        <f>Inputs!$I$6*E20*Inputs!$G$6</f>
        <v>0.37656981200100598</v>
      </c>
      <c r="Y20">
        <f>Inputs!$I$7*F20*Inputs!$G$7</f>
        <v>0.19972733373941395</v>
      </c>
      <c r="Z20">
        <f>Inputs!$I$8*G20*Inputs!$G$8</f>
        <v>0.76006970051755651</v>
      </c>
      <c r="AA20">
        <f>Inputs!$I$9*H20*Inputs!$G$9</f>
        <v>0.16590779367943137</v>
      </c>
      <c r="AB20">
        <f t="shared" si="0"/>
        <v>1.8509588073876833</v>
      </c>
      <c r="AD20">
        <f>Inputs!$I$2*ABS(A20-1)*Inputs!$H$2</f>
        <v>3.0082304526748989E-2</v>
      </c>
      <c r="AE20">
        <f>Inputs!$I$3*ABS(B20-1)*Inputs!$H$3</f>
        <v>0</v>
      </c>
      <c r="AF20">
        <f>Inputs!$I$4*ABS(C20-1)*Inputs!$H$4</f>
        <v>0</v>
      </c>
      <c r="AG20">
        <f>Inputs!$I$5*ABS(D20-1)*Inputs!$H$5</f>
        <v>3.0032539984442563E-2</v>
      </c>
      <c r="AH20">
        <f>Inputs!$I$6*ABS(E20-1)*Inputs!$H$6</f>
        <v>0</v>
      </c>
      <c r="AI20">
        <f>Inputs!$I$7*ABS(F20-1)*Inputs!$H$7</f>
        <v>0</v>
      </c>
      <c r="AJ20">
        <f>Inputs!$I$8*ABS(G20-1)*Inputs!$H$8</f>
        <v>0</v>
      </c>
      <c r="AK20">
        <f>Inputs!$I$9*ABS(H20-1)*Inputs!$H$9</f>
        <v>0</v>
      </c>
      <c r="AL20">
        <f t="shared" si="3"/>
        <v>-6.0114844511191548E-2</v>
      </c>
      <c r="AN20" s="1">
        <f t="shared" si="4"/>
        <v>1.7908439628764916</v>
      </c>
      <c r="AO20">
        <f t="shared" si="5"/>
        <v>1.6266633058311431E-2</v>
      </c>
      <c r="AP20">
        <f t="shared" si="1"/>
        <v>4.8978351045394261E-4</v>
      </c>
      <c r="AQ20" s="26">
        <f t="shared" si="6"/>
        <v>1.009366100640988</v>
      </c>
      <c r="AR20">
        <f t="shared" si="7"/>
        <v>-5.4603647067627851E-4</v>
      </c>
    </row>
    <row r="21" spans="1:44" x14ac:dyDescent="0.25">
      <c r="A21">
        <v>0</v>
      </c>
      <c r="B21">
        <v>1</v>
      </c>
      <c r="C21">
        <v>1</v>
      </c>
      <c r="D21">
        <v>0</v>
      </c>
      <c r="E21">
        <v>0</v>
      </c>
      <c r="F21">
        <v>1</v>
      </c>
      <c r="G21">
        <v>1</v>
      </c>
      <c r="H21">
        <v>1</v>
      </c>
      <c r="J21">
        <f>(A21*Inputs!$E$2+ABS((A21-1))*(1-Inputs!$E$2))</f>
        <v>0.35</v>
      </c>
      <c r="K21">
        <f>(B21*Inputs!$E$3+ABS((B21-1))*(1-Inputs!$E$3))</f>
        <v>0.65</v>
      </c>
      <c r="L21">
        <f>(C21*Inputs!$E$4+ABS((C21-1))*(1-Inputs!$E$4))</f>
        <v>0.65</v>
      </c>
      <c r="M21">
        <f>(D21*Inputs!$E$5+ABS((D21-1))*(1-Inputs!$E$5))</f>
        <v>0.35</v>
      </c>
      <c r="N21">
        <f>(E21*Inputs!$E$6+ABS((E21-1))*(1-Inputs!$E$6))</f>
        <v>0.4</v>
      </c>
      <c r="O21">
        <f>(F21*Inputs!$E$7+ABS((F21-1))*(1-Inputs!$E$7))</f>
        <v>0.75</v>
      </c>
      <c r="P21">
        <f>(G21*Inputs!$E$8+ABS((G21-1))*(1-Inputs!$E$8))</f>
        <v>0.6</v>
      </c>
      <c r="Q21">
        <f>(H21*Inputs!$E$9+ABS((H21-1))*(1-Inputs!$E$9))</f>
        <v>0.65</v>
      </c>
      <c r="R21">
        <f t="shared" si="2"/>
        <v>6.0554812500000004E-3</v>
      </c>
      <c r="T21">
        <f>Inputs!$I$2*A21*Inputs!$G$2</f>
        <v>0</v>
      </c>
      <c r="U21">
        <f>Inputs!$I$3*B21*Inputs!$G$3</f>
        <v>0.20645773829738062</v>
      </c>
      <c r="V21">
        <f>Inputs!$I$4*C21*Inputs!$G$4</f>
        <v>0.1422264291528948</v>
      </c>
      <c r="W21">
        <f>Inputs!$I$5*D21*Inputs!$G$5</f>
        <v>0</v>
      </c>
      <c r="X21">
        <f>Inputs!$I$6*E21*Inputs!$G$6</f>
        <v>0</v>
      </c>
      <c r="Y21">
        <f>Inputs!$I$7*F21*Inputs!$G$7</f>
        <v>0.19972733373941395</v>
      </c>
      <c r="Z21">
        <f>Inputs!$I$8*G21*Inputs!$G$8</f>
        <v>0.76006970051755651</v>
      </c>
      <c r="AA21">
        <f>Inputs!$I$9*H21*Inputs!$G$9</f>
        <v>0.16590779367943137</v>
      </c>
      <c r="AB21">
        <f t="shared" si="0"/>
        <v>1.4743889953866773</v>
      </c>
      <c r="AD21">
        <f>Inputs!$I$2*ABS(A21-1)*Inputs!$H$2</f>
        <v>3.0082304526748989E-2</v>
      </c>
      <c r="AE21">
        <f>Inputs!$I$3*ABS(B21-1)*Inputs!$H$3</f>
        <v>0</v>
      </c>
      <c r="AF21">
        <f>Inputs!$I$4*ABS(C21-1)*Inputs!$H$4</f>
        <v>0</v>
      </c>
      <c r="AG21">
        <f>Inputs!$I$5*ABS(D21-1)*Inputs!$H$5</f>
        <v>3.0032539984442563E-2</v>
      </c>
      <c r="AH21">
        <f>Inputs!$I$6*ABS(E21-1)*Inputs!$H$6</f>
        <v>6.4042485034184693E-2</v>
      </c>
      <c r="AI21">
        <f>Inputs!$I$7*ABS(F21-1)*Inputs!$H$7</f>
        <v>0</v>
      </c>
      <c r="AJ21">
        <f>Inputs!$I$8*ABS(G21-1)*Inputs!$H$8</f>
        <v>0</v>
      </c>
      <c r="AK21">
        <f>Inputs!$I$9*ABS(H21-1)*Inputs!$H$9</f>
        <v>0</v>
      </c>
      <c r="AL21">
        <f t="shared" si="3"/>
        <v>-0.12415732954537624</v>
      </c>
      <c r="AN21" s="1">
        <f t="shared" si="4"/>
        <v>1.3502316658413012</v>
      </c>
      <c r="AO21">
        <f t="shared" si="5"/>
        <v>8.1763025356582659E-3</v>
      </c>
      <c r="AP21">
        <f t="shared" si="1"/>
        <v>2.629971199695683E-4</v>
      </c>
      <c r="AQ21" s="26">
        <f t="shared" si="6"/>
        <v>1.0051879037365286</v>
      </c>
      <c r="AR21">
        <f t="shared" si="7"/>
        <v>-7.5183238111209687E-4</v>
      </c>
    </row>
    <row r="22" spans="1:44" x14ac:dyDescent="0.25">
      <c r="A22">
        <v>0</v>
      </c>
      <c r="B22">
        <v>1</v>
      </c>
      <c r="C22">
        <v>0</v>
      </c>
      <c r="D22">
        <v>1</v>
      </c>
      <c r="E22">
        <v>1</v>
      </c>
      <c r="F22">
        <v>1</v>
      </c>
      <c r="G22">
        <v>1</v>
      </c>
      <c r="H22">
        <v>1</v>
      </c>
      <c r="J22">
        <f>(A22*Inputs!$E$2+ABS((A22-1))*(1-Inputs!$E$2))</f>
        <v>0.35</v>
      </c>
      <c r="K22">
        <f>(B22*Inputs!$E$3+ABS((B22-1))*(1-Inputs!$E$3))</f>
        <v>0.65</v>
      </c>
      <c r="L22">
        <f>(C22*Inputs!$E$4+ABS((C22-1))*(1-Inputs!$E$4))</f>
        <v>0.35</v>
      </c>
      <c r="M22">
        <f>(D22*Inputs!$E$5+ABS((D22-1))*(1-Inputs!$E$5))</f>
        <v>0.65</v>
      </c>
      <c r="N22">
        <f>(E22*Inputs!$E$6+ABS((E22-1))*(1-Inputs!$E$6))</f>
        <v>0.6</v>
      </c>
      <c r="O22">
        <f>(F22*Inputs!$E$7+ABS((F22-1))*(1-Inputs!$E$7))</f>
        <v>0.75</v>
      </c>
      <c r="P22">
        <f>(G22*Inputs!$E$8+ABS((G22-1))*(1-Inputs!$E$8))</f>
        <v>0.6</v>
      </c>
      <c r="Q22">
        <f>(H22*Inputs!$E$9+ABS((H22-1))*(1-Inputs!$E$9))</f>
        <v>0.65</v>
      </c>
      <c r="R22">
        <f t="shared" si="2"/>
        <v>9.0832218750000002E-3</v>
      </c>
      <c r="T22">
        <f>Inputs!$I$2*A22*Inputs!$G$2</f>
        <v>0</v>
      </c>
      <c r="U22">
        <f>Inputs!$I$3*B22*Inputs!$G$3</f>
        <v>0.20645773829738062</v>
      </c>
      <c r="V22">
        <f>Inputs!$I$4*C22*Inputs!$G$4</f>
        <v>0</v>
      </c>
      <c r="W22">
        <f>Inputs!$I$5*D22*Inputs!$G$5</f>
        <v>0.20551679322687164</v>
      </c>
      <c r="X22">
        <f>Inputs!$I$6*E22*Inputs!$G$6</f>
        <v>0.37656981200100598</v>
      </c>
      <c r="Y22">
        <f>Inputs!$I$7*F22*Inputs!$G$7</f>
        <v>0.19972733373941395</v>
      </c>
      <c r="Z22">
        <f>Inputs!$I$8*G22*Inputs!$G$8</f>
        <v>0.76006970051755651</v>
      </c>
      <c r="AA22">
        <f>Inputs!$I$9*H22*Inputs!$G$9</f>
        <v>0.16590779367943137</v>
      </c>
      <c r="AB22">
        <f t="shared" si="0"/>
        <v>1.9142491714616598</v>
      </c>
      <c r="AD22">
        <f>Inputs!$I$2*ABS(A22-1)*Inputs!$H$2</f>
        <v>3.0082304526748989E-2</v>
      </c>
      <c r="AE22">
        <f>Inputs!$I$3*ABS(B22-1)*Inputs!$H$3</f>
        <v>0</v>
      </c>
      <c r="AF22">
        <f>Inputs!$I$4*ABS(C22-1)*Inputs!$H$4</f>
        <v>8.9678988679000853E-3</v>
      </c>
      <c r="AG22">
        <f>Inputs!$I$5*ABS(D22-1)*Inputs!$H$5</f>
        <v>0</v>
      </c>
      <c r="AH22">
        <f>Inputs!$I$6*ABS(E22-1)*Inputs!$H$6</f>
        <v>0</v>
      </c>
      <c r="AI22">
        <f>Inputs!$I$7*ABS(F22-1)*Inputs!$H$7</f>
        <v>0</v>
      </c>
      <c r="AJ22">
        <f>Inputs!$I$8*ABS(G22-1)*Inputs!$H$8</f>
        <v>0</v>
      </c>
      <c r="AK22">
        <f>Inputs!$I$9*ABS(H22-1)*Inputs!$H$9</f>
        <v>0</v>
      </c>
      <c r="AL22">
        <f t="shared" si="3"/>
        <v>-3.9050203394649076E-2</v>
      </c>
      <c r="AN22" s="1">
        <f t="shared" si="4"/>
        <v>1.8751989680670107</v>
      </c>
      <c r="AO22">
        <f t="shared" si="5"/>
        <v>1.70328482867237E-2</v>
      </c>
      <c r="AP22">
        <f t="shared" si="1"/>
        <v>9.1026425960886179E-4</v>
      </c>
      <c r="AQ22" s="26">
        <f t="shared" si="6"/>
        <v>1.0096391495551995</v>
      </c>
      <c r="AR22">
        <f t="shared" si="7"/>
        <v>-3.5470166169747575E-4</v>
      </c>
    </row>
    <row r="23" spans="1:44" x14ac:dyDescent="0.25">
      <c r="A23">
        <v>0</v>
      </c>
      <c r="B23">
        <v>1</v>
      </c>
      <c r="C23">
        <v>0</v>
      </c>
      <c r="D23">
        <v>1</v>
      </c>
      <c r="E23">
        <v>0</v>
      </c>
      <c r="F23">
        <v>1</v>
      </c>
      <c r="G23">
        <v>1</v>
      </c>
      <c r="H23">
        <v>1</v>
      </c>
      <c r="J23">
        <f>(A23*Inputs!$E$2+ABS((A23-1))*(1-Inputs!$E$2))</f>
        <v>0.35</v>
      </c>
      <c r="K23">
        <f>(B23*Inputs!$E$3+ABS((B23-1))*(1-Inputs!$E$3))</f>
        <v>0.65</v>
      </c>
      <c r="L23">
        <f>(C23*Inputs!$E$4+ABS((C23-1))*(1-Inputs!$E$4))</f>
        <v>0.35</v>
      </c>
      <c r="M23">
        <f>(D23*Inputs!$E$5+ABS((D23-1))*(1-Inputs!$E$5))</f>
        <v>0.65</v>
      </c>
      <c r="N23">
        <f>(E23*Inputs!$E$6+ABS((E23-1))*(1-Inputs!$E$6))</f>
        <v>0.4</v>
      </c>
      <c r="O23">
        <f>(F23*Inputs!$E$7+ABS((F23-1))*(1-Inputs!$E$7))</f>
        <v>0.75</v>
      </c>
      <c r="P23">
        <f>(G23*Inputs!$E$8+ABS((G23-1))*(1-Inputs!$E$8))</f>
        <v>0.6</v>
      </c>
      <c r="Q23">
        <f>(H23*Inputs!$E$9+ABS((H23-1))*(1-Inputs!$E$9))</f>
        <v>0.65</v>
      </c>
      <c r="R23">
        <f t="shared" si="2"/>
        <v>6.0554812500000004E-3</v>
      </c>
      <c r="T23">
        <f>Inputs!$I$2*A23*Inputs!$G$2</f>
        <v>0</v>
      </c>
      <c r="U23">
        <f>Inputs!$I$3*B23*Inputs!$G$3</f>
        <v>0.20645773829738062</v>
      </c>
      <c r="V23">
        <f>Inputs!$I$4*C23*Inputs!$G$4</f>
        <v>0</v>
      </c>
      <c r="W23">
        <f>Inputs!$I$5*D23*Inputs!$G$5</f>
        <v>0.20551679322687164</v>
      </c>
      <c r="X23">
        <f>Inputs!$I$6*E23*Inputs!$G$6</f>
        <v>0</v>
      </c>
      <c r="Y23">
        <f>Inputs!$I$7*F23*Inputs!$G$7</f>
        <v>0.19972733373941395</v>
      </c>
      <c r="Z23">
        <f>Inputs!$I$8*G23*Inputs!$G$8</f>
        <v>0.76006970051755651</v>
      </c>
      <c r="AA23">
        <f>Inputs!$I$9*H23*Inputs!$G$9</f>
        <v>0.16590779367943137</v>
      </c>
      <c r="AB23">
        <f t="shared" si="0"/>
        <v>1.5376793594606539</v>
      </c>
      <c r="AD23">
        <f>Inputs!$I$2*ABS(A23-1)*Inputs!$H$2</f>
        <v>3.0082304526748989E-2</v>
      </c>
      <c r="AE23">
        <f>Inputs!$I$3*ABS(B23-1)*Inputs!$H$3</f>
        <v>0</v>
      </c>
      <c r="AF23">
        <f>Inputs!$I$4*ABS(C23-1)*Inputs!$H$4</f>
        <v>8.9678988679000853E-3</v>
      </c>
      <c r="AG23">
        <f>Inputs!$I$5*ABS(D23-1)*Inputs!$H$5</f>
        <v>0</v>
      </c>
      <c r="AH23">
        <f>Inputs!$I$6*ABS(E23-1)*Inputs!$H$6</f>
        <v>6.4042485034184693E-2</v>
      </c>
      <c r="AI23">
        <f>Inputs!$I$7*ABS(F23-1)*Inputs!$H$7</f>
        <v>0</v>
      </c>
      <c r="AJ23">
        <f>Inputs!$I$8*ABS(G23-1)*Inputs!$H$8</f>
        <v>0</v>
      </c>
      <c r="AK23">
        <f>Inputs!$I$9*ABS(H23-1)*Inputs!$H$9</f>
        <v>0</v>
      </c>
      <c r="AL23">
        <f t="shared" si="3"/>
        <v>-0.10309268842883376</v>
      </c>
      <c r="AN23" s="1">
        <f t="shared" si="4"/>
        <v>1.4345866710318202</v>
      </c>
      <c r="AO23">
        <f t="shared" si="5"/>
        <v>8.6871126879331066E-3</v>
      </c>
      <c r="AP23">
        <f t="shared" si="1"/>
        <v>9.3179150320754796E-5</v>
      </c>
      <c r="AQ23" s="26">
        <f t="shared" si="6"/>
        <v>1.0054025694504827</v>
      </c>
      <c r="AR23">
        <f t="shared" si="7"/>
        <v>-6.2427584179289481E-4</v>
      </c>
    </row>
    <row r="24" spans="1:44" x14ac:dyDescent="0.25">
      <c r="A24">
        <v>0</v>
      </c>
      <c r="B24">
        <v>1</v>
      </c>
      <c r="C24">
        <v>0</v>
      </c>
      <c r="D24">
        <v>0</v>
      </c>
      <c r="E24">
        <v>1</v>
      </c>
      <c r="F24">
        <v>1</v>
      </c>
      <c r="G24">
        <v>1</v>
      </c>
      <c r="H24">
        <v>1</v>
      </c>
      <c r="J24">
        <f>(A24*Inputs!$E$2+ABS((A24-1))*(1-Inputs!$E$2))</f>
        <v>0.35</v>
      </c>
      <c r="K24">
        <f>(B24*Inputs!$E$3+ABS((B24-1))*(1-Inputs!$E$3))</f>
        <v>0.65</v>
      </c>
      <c r="L24">
        <f>(C24*Inputs!$E$4+ABS((C24-1))*(1-Inputs!$E$4))</f>
        <v>0.35</v>
      </c>
      <c r="M24">
        <f>(D24*Inputs!$E$5+ABS((D24-1))*(1-Inputs!$E$5))</f>
        <v>0.35</v>
      </c>
      <c r="N24">
        <f>(E24*Inputs!$E$6+ABS((E24-1))*(1-Inputs!$E$6))</f>
        <v>0.6</v>
      </c>
      <c r="O24">
        <f>(F24*Inputs!$E$7+ABS((F24-1))*(1-Inputs!$E$7))</f>
        <v>0.75</v>
      </c>
      <c r="P24">
        <f>(G24*Inputs!$E$8+ABS((G24-1))*(1-Inputs!$E$8))</f>
        <v>0.6</v>
      </c>
      <c r="Q24">
        <f>(H24*Inputs!$E$9+ABS((H24-1))*(1-Inputs!$E$9))</f>
        <v>0.65</v>
      </c>
      <c r="R24">
        <f t="shared" si="2"/>
        <v>4.8909656249999994E-3</v>
      </c>
      <c r="T24">
        <f>Inputs!$I$2*A24*Inputs!$G$2</f>
        <v>0</v>
      </c>
      <c r="U24">
        <f>Inputs!$I$3*B24*Inputs!$G$3</f>
        <v>0.20645773829738062</v>
      </c>
      <c r="V24">
        <f>Inputs!$I$4*C24*Inputs!$G$4</f>
        <v>0</v>
      </c>
      <c r="W24">
        <f>Inputs!$I$5*D24*Inputs!$G$5</f>
        <v>0</v>
      </c>
      <c r="X24">
        <f>Inputs!$I$6*E24*Inputs!$G$6</f>
        <v>0.37656981200100598</v>
      </c>
      <c r="Y24">
        <f>Inputs!$I$7*F24*Inputs!$G$7</f>
        <v>0.19972733373941395</v>
      </c>
      <c r="Z24">
        <f>Inputs!$I$8*G24*Inputs!$G$8</f>
        <v>0.76006970051755651</v>
      </c>
      <c r="AA24">
        <f>Inputs!$I$9*H24*Inputs!$G$9</f>
        <v>0.16590779367943137</v>
      </c>
      <c r="AB24">
        <f t="shared" si="0"/>
        <v>1.7087323782347883</v>
      </c>
      <c r="AD24">
        <f>Inputs!$I$2*ABS(A24-1)*Inputs!$H$2</f>
        <v>3.0082304526748989E-2</v>
      </c>
      <c r="AE24">
        <f>Inputs!$I$3*ABS(B24-1)*Inputs!$H$3</f>
        <v>0</v>
      </c>
      <c r="AF24">
        <f>Inputs!$I$4*ABS(C24-1)*Inputs!$H$4</f>
        <v>8.9678988679000853E-3</v>
      </c>
      <c r="AG24">
        <f>Inputs!$I$5*ABS(D24-1)*Inputs!$H$5</f>
        <v>3.0032539984442563E-2</v>
      </c>
      <c r="AH24">
        <f>Inputs!$I$6*ABS(E24-1)*Inputs!$H$6</f>
        <v>0</v>
      </c>
      <c r="AI24">
        <f>Inputs!$I$7*ABS(F24-1)*Inputs!$H$7</f>
        <v>0</v>
      </c>
      <c r="AJ24">
        <f>Inputs!$I$8*ABS(G24-1)*Inputs!$H$8</f>
        <v>0</v>
      </c>
      <c r="AK24">
        <f>Inputs!$I$9*ABS(H24-1)*Inputs!$H$9</f>
        <v>0</v>
      </c>
      <c r="AL24">
        <f t="shared" si="3"/>
        <v>-6.9082743379091635E-2</v>
      </c>
      <c r="AN24" s="1">
        <f t="shared" si="4"/>
        <v>1.6396496348556966</v>
      </c>
      <c r="AO24">
        <f t="shared" si="5"/>
        <v>8.0194700011230122E-3</v>
      </c>
      <c r="AP24">
        <f t="shared" si="1"/>
        <v>3.2102552609647128E-5</v>
      </c>
      <c r="AQ24" s="26">
        <f t="shared" si="6"/>
        <v>1.004758683914029</v>
      </c>
      <c r="AR24">
        <f t="shared" si="7"/>
        <v>-3.3788132314783347E-4</v>
      </c>
    </row>
    <row r="25" spans="1:44" x14ac:dyDescent="0.25">
      <c r="A25">
        <v>0</v>
      </c>
      <c r="B25">
        <v>1</v>
      </c>
      <c r="C25">
        <v>0</v>
      </c>
      <c r="D25">
        <v>0</v>
      </c>
      <c r="E25">
        <v>0</v>
      </c>
      <c r="F25">
        <v>1</v>
      </c>
      <c r="G25">
        <v>1</v>
      </c>
      <c r="H25">
        <v>1</v>
      </c>
      <c r="J25">
        <f>(A25*Inputs!$E$2+ABS((A25-1))*(1-Inputs!$E$2))</f>
        <v>0.35</v>
      </c>
      <c r="K25">
        <f>(B25*Inputs!$E$3+ABS((B25-1))*(1-Inputs!$E$3))</f>
        <v>0.65</v>
      </c>
      <c r="L25">
        <f>(C25*Inputs!$E$4+ABS((C25-1))*(1-Inputs!$E$4))</f>
        <v>0.35</v>
      </c>
      <c r="M25">
        <f>(D25*Inputs!$E$5+ABS((D25-1))*(1-Inputs!$E$5))</f>
        <v>0.35</v>
      </c>
      <c r="N25">
        <f>(E25*Inputs!$E$6+ABS((E25-1))*(1-Inputs!$E$6))</f>
        <v>0.4</v>
      </c>
      <c r="O25">
        <f>(F25*Inputs!$E$7+ABS((F25-1))*(1-Inputs!$E$7))</f>
        <v>0.75</v>
      </c>
      <c r="P25">
        <f>(G25*Inputs!$E$8+ABS((G25-1))*(1-Inputs!$E$8))</f>
        <v>0.6</v>
      </c>
      <c r="Q25">
        <f>(H25*Inputs!$E$9+ABS((H25-1))*(1-Inputs!$E$9))</f>
        <v>0.65</v>
      </c>
      <c r="R25">
        <f t="shared" si="2"/>
        <v>3.2606437499999997E-3</v>
      </c>
      <c r="T25">
        <f>Inputs!$I$2*A25*Inputs!$G$2</f>
        <v>0</v>
      </c>
      <c r="U25">
        <f>Inputs!$I$3*B25*Inputs!$G$3</f>
        <v>0.20645773829738062</v>
      </c>
      <c r="V25">
        <f>Inputs!$I$4*C25*Inputs!$G$4</f>
        <v>0</v>
      </c>
      <c r="W25">
        <f>Inputs!$I$5*D25*Inputs!$G$5</f>
        <v>0</v>
      </c>
      <c r="X25">
        <f>Inputs!$I$6*E25*Inputs!$G$6</f>
        <v>0</v>
      </c>
      <c r="Y25">
        <f>Inputs!$I$7*F25*Inputs!$G$7</f>
        <v>0.19972733373941395</v>
      </c>
      <c r="Z25">
        <f>Inputs!$I$8*G25*Inputs!$G$8</f>
        <v>0.76006970051755651</v>
      </c>
      <c r="AA25">
        <f>Inputs!$I$9*H25*Inputs!$G$9</f>
        <v>0.16590779367943137</v>
      </c>
      <c r="AB25">
        <f t="shared" si="0"/>
        <v>1.3321625662337824</v>
      </c>
      <c r="AD25">
        <f>Inputs!$I$2*ABS(A25-1)*Inputs!$H$2</f>
        <v>3.0082304526748989E-2</v>
      </c>
      <c r="AE25">
        <f>Inputs!$I$3*ABS(B25-1)*Inputs!$H$3</f>
        <v>0</v>
      </c>
      <c r="AF25">
        <f>Inputs!$I$4*ABS(C25-1)*Inputs!$H$4</f>
        <v>8.9678988679000853E-3</v>
      </c>
      <c r="AG25">
        <f>Inputs!$I$5*ABS(D25-1)*Inputs!$H$5</f>
        <v>3.0032539984442563E-2</v>
      </c>
      <c r="AH25">
        <f>Inputs!$I$6*ABS(E25-1)*Inputs!$H$6</f>
        <v>6.4042485034184693E-2</v>
      </c>
      <c r="AI25">
        <f>Inputs!$I$7*ABS(F25-1)*Inputs!$H$7</f>
        <v>0</v>
      </c>
      <c r="AJ25">
        <f>Inputs!$I$8*ABS(G25-1)*Inputs!$H$8</f>
        <v>0</v>
      </c>
      <c r="AK25">
        <f>Inputs!$I$9*ABS(H25-1)*Inputs!$H$9</f>
        <v>0</v>
      </c>
      <c r="AL25">
        <f t="shared" si="3"/>
        <v>-0.13312522841327634</v>
      </c>
      <c r="AN25" s="1">
        <f t="shared" si="4"/>
        <v>1.1990373378205059</v>
      </c>
      <c r="AO25">
        <f t="shared" si="5"/>
        <v>3.9096336015810706E-3</v>
      </c>
      <c r="AP25">
        <f t="shared" si="1"/>
        <v>4.2163146734126698E-4</v>
      </c>
      <c r="AQ25" s="26">
        <f t="shared" si="6"/>
        <v>1.0025727553495134</v>
      </c>
      <c r="AR25">
        <f t="shared" si="7"/>
        <v>-4.3407394399307191E-4</v>
      </c>
    </row>
    <row r="26" spans="1:44" x14ac:dyDescent="0.25">
      <c r="A26">
        <v>0</v>
      </c>
      <c r="B26">
        <v>0</v>
      </c>
      <c r="C26">
        <v>1</v>
      </c>
      <c r="D26">
        <v>1</v>
      </c>
      <c r="E26">
        <v>1</v>
      </c>
      <c r="F26">
        <v>1</v>
      </c>
      <c r="G26">
        <v>1</v>
      </c>
      <c r="H26">
        <v>1</v>
      </c>
      <c r="J26">
        <f>(A26*Inputs!$E$2+ABS((A26-1))*(1-Inputs!$E$2))</f>
        <v>0.35</v>
      </c>
      <c r="K26">
        <f>(B26*Inputs!$E$3+ABS((B26-1))*(1-Inputs!$E$3))</f>
        <v>0.35</v>
      </c>
      <c r="L26">
        <f>(C26*Inputs!$E$4+ABS((C26-1))*(1-Inputs!$E$4))</f>
        <v>0.65</v>
      </c>
      <c r="M26">
        <f>(D26*Inputs!$E$5+ABS((D26-1))*(1-Inputs!$E$5))</f>
        <v>0.65</v>
      </c>
      <c r="N26">
        <f>(E26*Inputs!$E$6+ABS((E26-1))*(1-Inputs!$E$6))</f>
        <v>0.6</v>
      </c>
      <c r="O26">
        <f>(F26*Inputs!$E$7+ABS((F26-1))*(1-Inputs!$E$7))</f>
        <v>0.75</v>
      </c>
      <c r="P26">
        <f>(G26*Inputs!$E$8+ABS((G26-1))*(1-Inputs!$E$8))</f>
        <v>0.6</v>
      </c>
      <c r="Q26">
        <f>(H26*Inputs!$E$9+ABS((H26-1))*(1-Inputs!$E$9))</f>
        <v>0.65</v>
      </c>
      <c r="R26">
        <f t="shared" si="2"/>
        <v>9.0832218750000002E-3</v>
      </c>
      <c r="T26">
        <f>Inputs!$I$2*A26*Inputs!$G$2</f>
        <v>0</v>
      </c>
      <c r="U26">
        <f>Inputs!$I$3*B26*Inputs!$G$3</f>
        <v>0</v>
      </c>
      <c r="V26">
        <f>Inputs!$I$4*C26*Inputs!$G$4</f>
        <v>0.1422264291528948</v>
      </c>
      <c r="W26">
        <f>Inputs!$I$5*D26*Inputs!$G$5</f>
        <v>0.20551679322687164</v>
      </c>
      <c r="X26">
        <f>Inputs!$I$6*E26*Inputs!$G$6</f>
        <v>0.37656981200100598</v>
      </c>
      <c r="Y26">
        <f>Inputs!$I$7*F26*Inputs!$G$7</f>
        <v>0.19972733373941395</v>
      </c>
      <c r="Z26">
        <f>Inputs!$I$8*G26*Inputs!$G$8</f>
        <v>0.76006970051755651</v>
      </c>
      <c r="AA26">
        <f>Inputs!$I$9*H26*Inputs!$G$9</f>
        <v>0.16590779367943137</v>
      </c>
      <c r="AB26">
        <f t="shared" si="0"/>
        <v>1.8500178623171744</v>
      </c>
      <c r="AD26">
        <f>Inputs!$I$2*ABS(A26-1)*Inputs!$H$2</f>
        <v>3.0082304526748989E-2</v>
      </c>
      <c r="AE26">
        <f>Inputs!$I$3*ABS(B26-1)*Inputs!$H$3</f>
        <v>1.1405796839520112E-2</v>
      </c>
      <c r="AF26">
        <f>Inputs!$I$4*ABS(C26-1)*Inputs!$H$4</f>
        <v>0</v>
      </c>
      <c r="AG26">
        <f>Inputs!$I$5*ABS(D26-1)*Inputs!$H$5</f>
        <v>0</v>
      </c>
      <c r="AH26">
        <f>Inputs!$I$6*ABS(E26-1)*Inputs!$H$6</f>
        <v>0</v>
      </c>
      <c r="AI26">
        <f>Inputs!$I$7*ABS(F26-1)*Inputs!$H$7</f>
        <v>0</v>
      </c>
      <c r="AJ26">
        <f>Inputs!$I$8*ABS(G26-1)*Inputs!$H$8</f>
        <v>0</v>
      </c>
      <c r="AK26">
        <f>Inputs!$I$9*ABS(H26-1)*Inputs!$H$9</f>
        <v>0</v>
      </c>
      <c r="AL26">
        <f t="shared" si="3"/>
        <v>-4.1488101366269098E-2</v>
      </c>
      <c r="AN26" s="1">
        <f t="shared" si="4"/>
        <v>1.8085297609509052</v>
      </c>
      <c r="AO26">
        <f t="shared" si="5"/>
        <v>1.6427277086257783E-2</v>
      </c>
      <c r="AP26">
        <f t="shared" si="1"/>
        <v>5.6723113389101608E-4</v>
      </c>
      <c r="AQ26" s="26">
        <f t="shared" si="6"/>
        <v>1.0094240191995276</v>
      </c>
      <c r="AR26">
        <f t="shared" si="7"/>
        <v>-3.7684562988231287E-4</v>
      </c>
    </row>
    <row r="27" spans="1:44" x14ac:dyDescent="0.25">
      <c r="A27">
        <v>0</v>
      </c>
      <c r="B27">
        <v>0</v>
      </c>
      <c r="C27">
        <v>1</v>
      </c>
      <c r="D27">
        <v>1</v>
      </c>
      <c r="E27">
        <v>0</v>
      </c>
      <c r="F27">
        <v>1</v>
      </c>
      <c r="G27">
        <v>1</v>
      </c>
      <c r="H27">
        <v>1</v>
      </c>
      <c r="J27">
        <f>(A27*Inputs!$E$2+ABS((A27-1))*(1-Inputs!$E$2))</f>
        <v>0.35</v>
      </c>
      <c r="K27">
        <f>(B27*Inputs!$E$3+ABS((B27-1))*(1-Inputs!$E$3))</f>
        <v>0.35</v>
      </c>
      <c r="L27">
        <f>(C27*Inputs!$E$4+ABS((C27-1))*(1-Inputs!$E$4))</f>
        <v>0.65</v>
      </c>
      <c r="M27">
        <f>(D27*Inputs!$E$5+ABS((D27-1))*(1-Inputs!$E$5))</f>
        <v>0.65</v>
      </c>
      <c r="N27">
        <f>(E27*Inputs!$E$6+ABS((E27-1))*(1-Inputs!$E$6))</f>
        <v>0.4</v>
      </c>
      <c r="O27">
        <f>(F27*Inputs!$E$7+ABS((F27-1))*(1-Inputs!$E$7))</f>
        <v>0.75</v>
      </c>
      <c r="P27">
        <f>(G27*Inputs!$E$8+ABS((G27-1))*(1-Inputs!$E$8))</f>
        <v>0.6</v>
      </c>
      <c r="Q27">
        <f>(H27*Inputs!$E$9+ABS((H27-1))*(1-Inputs!$E$9))</f>
        <v>0.65</v>
      </c>
      <c r="R27">
        <f t="shared" si="2"/>
        <v>6.0554812500000004E-3</v>
      </c>
      <c r="T27">
        <f>Inputs!$I$2*A27*Inputs!$G$2</f>
        <v>0</v>
      </c>
      <c r="U27">
        <f>Inputs!$I$3*B27*Inputs!$G$3</f>
        <v>0</v>
      </c>
      <c r="V27">
        <f>Inputs!$I$4*C27*Inputs!$G$4</f>
        <v>0.1422264291528948</v>
      </c>
      <c r="W27">
        <f>Inputs!$I$5*D27*Inputs!$G$5</f>
        <v>0.20551679322687164</v>
      </c>
      <c r="X27">
        <f>Inputs!$I$6*E27*Inputs!$G$6</f>
        <v>0</v>
      </c>
      <c r="Y27">
        <f>Inputs!$I$7*F27*Inputs!$G$7</f>
        <v>0.19972733373941395</v>
      </c>
      <c r="Z27">
        <f>Inputs!$I$8*G27*Inputs!$G$8</f>
        <v>0.76006970051755651</v>
      </c>
      <c r="AA27">
        <f>Inputs!$I$9*H27*Inputs!$G$9</f>
        <v>0.16590779367943137</v>
      </c>
      <c r="AB27">
        <f t="shared" si="0"/>
        <v>1.4734480503161682</v>
      </c>
      <c r="AD27">
        <f>Inputs!$I$2*ABS(A27-1)*Inputs!$H$2</f>
        <v>3.0082304526748989E-2</v>
      </c>
      <c r="AE27">
        <f>Inputs!$I$3*ABS(B27-1)*Inputs!$H$3</f>
        <v>1.1405796839520112E-2</v>
      </c>
      <c r="AF27">
        <f>Inputs!$I$4*ABS(C27-1)*Inputs!$H$4</f>
        <v>0</v>
      </c>
      <c r="AG27">
        <f>Inputs!$I$5*ABS(D27-1)*Inputs!$H$5</f>
        <v>0</v>
      </c>
      <c r="AH27">
        <f>Inputs!$I$6*ABS(E27-1)*Inputs!$H$6</f>
        <v>6.4042485034184693E-2</v>
      </c>
      <c r="AI27">
        <f>Inputs!$I$7*ABS(F27-1)*Inputs!$H$7</f>
        <v>0</v>
      </c>
      <c r="AJ27">
        <f>Inputs!$I$8*ABS(G27-1)*Inputs!$H$8</f>
        <v>0</v>
      </c>
      <c r="AK27">
        <f>Inputs!$I$9*ABS(H27-1)*Inputs!$H$9</f>
        <v>0</v>
      </c>
      <c r="AL27">
        <f t="shared" si="3"/>
        <v>-0.10553058640045379</v>
      </c>
      <c r="AN27" s="1">
        <f t="shared" si="4"/>
        <v>1.3679174639157143</v>
      </c>
      <c r="AO27">
        <f t="shared" si="5"/>
        <v>8.2833985542891606E-3</v>
      </c>
      <c r="AP27">
        <f t="shared" si="1"/>
        <v>2.2025322338305138E-4</v>
      </c>
      <c r="AQ27" s="26">
        <f t="shared" si="6"/>
        <v>1.005233537974586</v>
      </c>
      <c r="AR27">
        <f t="shared" si="7"/>
        <v>-6.39038487249453E-4</v>
      </c>
    </row>
    <row r="28" spans="1:44" x14ac:dyDescent="0.25">
      <c r="A28">
        <v>0</v>
      </c>
      <c r="B28">
        <v>0</v>
      </c>
      <c r="C28">
        <v>1</v>
      </c>
      <c r="D28">
        <v>0</v>
      </c>
      <c r="E28">
        <v>1</v>
      </c>
      <c r="F28">
        <v>1</v>
      </c>
      <c r="G28">
        <v>1</v>
      </c>
      <c r="H28">
        <v>1</v>
      </c>
      <c r="J28">
        <f>(A28*Inputs!$E$2+ABS((A28-1))*(1-Inputs!$E$2))</f>
        <v>0.35</v>
      </c>
      <c r="K28">
        <f>(B28*Inputs!$E$3+ABS((B28-1))*(1-Inputs!$E$3))</f>
        <v>0.35</v>
      </c>
      <c r="L28">
        <f>(C28*Inputs!$E$4+ABS((C28-1))*(1-Inputs!$E$4))</f>
        <v>0.65</v>
      </c>
      <c r="M28">
        <f>(D28*Inputs!$E$5+ABS((D28-1))*(1-Inputs!$E$5))</f>
        <v>0.35</v>
      </c>
      <c r="N28">
        <f>(E28*Inputs!$E$6+ABS((E28-1))*(1-Inputs!$E$6))</f>
        <v>0.6</v>
      </c>
      <c r="O28">
        <f>(F28*Inputs!$E$7+ABS((F28-1))*(1-Inputs!$E$7))</f>
        <v>0.75</v>
      </c>
      <c r="P28">
        <f>(G28*Inputs!$E$8+ABS((G28-1))*(1-Inputs!$E$8))</f>
        <v>0.6</v>
      </c>
      <c r="Q28">
        <f>(H28*Inputs!$E$9+ABS((H28-1))*(1-Inputs!$E$9))</f>
        <v>0.65</v>
      </c>
      <c r="R28">
        <f t="shared" si="2"/>
        <v>4.8909656249999994E-3</v>
      </c>
      <c r="T28">
        <f>Inputs!$I$2*A28*Inputs!$G$2</f>
        <v>0</v>
      </c>
      <c r="U28">
        <f>Inputs!$I$3*B28*Inputs!$G$3</f>
        <v>0</v>
      </c>
      <c r="V28">
        <f>Inputs!$I$4*C28*Inputs!$G$4</f>
        <v>0.1422264291528948</v>
      </c>
      <c r="W28">
        <f>Inputs!$I$5*D28*Inputs!$G$5</f>
        <v>0</v>
      </c>
      <c r="X28">
        <f>Inputs!$I$6*E28*Inputs!$G$6</f>
        <v>0.37656981200100598</v>
      </c>
      <c r="Y28">
        <f>Inputs!$I$7*F28*Inputs!$G$7</f>
        <v>0.19972733373941395</v>
      </c>
      <c r="Z28">
        <f>Inputs!$I$8*G28*Inputs!$G$8</f>
        <v>0.76006970051755651</v>
      </c>
      <c r="AA28">
        <f>Inputs!$I$9*H28*Inputs!$G$9</f>
        <v>0.16590779367943137</v>
      </c>
      <c r="AB28">
        <f t="shared" si="0"/>
        <v>1.6445010690903026</v>
      </c>
      <c r="AD28">
        <f>Inputs!$I$2*ABS(A28-1)*Inputs!$H$2</f>
        <v>3.0082304526748989E-2</v>
      </c>
      <c r="AE28">
        <f>Inputs!$I$3*ABS(B28-1)*Inputs!$H$3</f>
        <v>1.1405796839520112E-2</v>
      </c>
      <c r="AF28">
        <f>Inputs!$I$4*ABS(C28-1)*Inputs!$H$4</f>
        <v>0</v>
      </c>
      <c r="AG28">
        <f>Inputs!$I$5*ABS(D28-1)*Inputs!$H$5</f>
        <v>3.0032539984442563E-2</v>
      </c>
      <c r="AH28">
        <f>Inputs!$I$6*ABS(E28-1)*Inputs!$H$6</f>
        <v>0</v>
      </c>
      <c r="AI28">
        <f>Inputs!$I$7*ABS(F28-1)*Inputs!$H$7</f>
        <v>0</v>
      </c>
      <c r="AJ28">
        <f>Inputs!$I$8*ABS(G28-1)*Inputs!$H$8</f>
        <v>0</v>
      </c>
      <c r="AK28">
        <f>Inputs!$I$9*ABS(H28-1)*Inputs!$H$9</f>
        <v>0</v>
      </c>
      <c r="AL28">
        <f t="shared" si="3"/>
        <v>-7.1520641350711664E-2</v>
      </c>
      <c r="AN28" s="1">
        <f t="shared" si="4"/>
        <v>1.5729804277395909</v>
      </c>
      <c r="AO28">
        <f t="shared" si="5"/>
        <v>7.6933932008721347E-3</v>
      </c>
      <c r="AP28">
        <f t="shared" si="1"/>
        <v>1.0067537418915287E-6</v>
      </c>
      <c r="AQ28" s="26">
        <f t="shared" si="6"/>
        <v>1.0046329792839181</v>
      </c>
      <c r="AR28">
        <f t="shared" si="7"/>
        <v>-3.498049983242843E-4</v>
      </c>
    </row>
    <row r="29" spans="1:44" x14ac:dyDescent="0.25">
      <c r="A29">
        <v>0</v>
      </c>
      <c r="B29">
        <v>0</v>
      </c>
      <c r="C29">
        <v>1</v>
      </c>
      <c r="D29">
        <v>0</v>
      </c>
      <c r="E29">
        <v>0</v>
      </c>
      <c r="F29">
        <v>1</v>
      </c>
      <c r="G29">
        <v>1</v>
      </c>
      <c r="H29">
        <v>1</v>
      </c>
      <c r="J29">
        <f>(A29*Inputs!$E$2+ABS((A29-1))*(1-Inputs!$E$2))</f>
        <v>0.35</v>
      </c>
      <c r="K29">
        <f>(B29*Inputs!$E$3+ABS((B29-1))*(1-Inputs!$E$3))</f>
        <v>0.35</v>
      </c>
      <c r="L29">
        <f>(C29*Inputs!$E$4+ABS((C29-1))*(1-Inputs!$E$4))</f>
        <v>0.65</v>
      </c>
      <c r="M29">
        <f>(D29*Inputs!$E$5+ABS((D29-1))*(1-Inputs!$E$5))</f>
        <v>0.35</v>
      </c>
      <c r="N29">
        <f>(E29*Inputs!$E$6+ABS((E29-1))*(1-Inputs!$E$6))</f>
        <v>0.4</v>
      </c>
      <c r="O29">
        <f>(F29*Inputs!$E$7+ABS((F29-1))*(1-Inputs!$E$7))</f>
        <v>0.75</v>
      </c>
      <c r="P29">
        <f>(G29*Inputs!$E$8+ABS((G29-1))*(1-Inputs!$E$8))</f>
        <v>0.6</v>
      </c>
      <c r="Q29">
        <f>(H29*Inputs!$E$9+ABS((H29-1))*(1-Inputs!$E$9))</f>
        <v>0.65</v>
      </c>
      <c r="R29">
        <f t="shared" si="2"/>
        <v>3.2606437499999997E-3</v>
      </c>
      <c r="T29">
        <f>Inputs!$I$2*A29*Inputs!$G$2</f>
        <v>0</v>
      </c>
      <c r="U29">
        <f>Inputs!$I$3*B29*Inputs!$G$3</f>
        <v>0</v>
      </c>
      <c r="V29">
        <f>Inputs!$I$4*C29*Inputs!$G$4</f>
        <v>0.1422264291528948</v>
      </c>
      <c r="W29">
        <f>Inputs!$I$5*D29*Inputs!$G$5</f>
        <v>0</v>
      </c>
      <c r="X29">
        <f>Inputs!$I$6*E29*Inputs!$G$6</f>
        <v>0</v>
      </c>
      <c r="Y29">
        <f>Inputs!$I$7*F29*Inputs!$G$7</f>
        <v>0.19972733373941395</v>
      </c>
      <c r="Z29">
        <f>Inputs!$I$8*G29*Inputs!$G$8</f>
        <v>0.76006970051755651</v>
      </c>
      <c r="AA29">
        <f>Inputs!$I$9*H29*Inputs!$G$9</f>
        <v>0.16590779367943137</v>
      </c>
      <c r="AB29">
        <f t="shared" si="0"/>
        <v>1.2679312570892964</v>
      </c>
      <c r="AD29">
        <f>Inputs!$I$2*ABS(A29-1)*Inputs!$H$2</f>
        <v>3.0082304526748989E-2</v>
      </c>
      <c r="AE29">
        <f>Inputs!$I$3*ABS(B29-1)*Inputs!$H$3</f>
        <v>1.1405796839520112E-2</v>
      </c>
      <c r="AF29">
        <f>Inputs!$I$4*ABS(C29-1)*Inputs!$H$4</f>
        <v>0</v>
      </c>
      <c r="AG29">
        <f>Inputs!$I$5*ABS(D29-1)*Inputs!$H$5</f>
        <v>3.0032539984442563E-2</v>
      </c>
      <c r="AH29">
        <f>Inputs!$I$6*ABS(E29-1)*Inputs!$H$6</f>
        <v>6.4042485034184693E-2</v>
      </c>
      <c r="AI29">
        <f>Inputs!$I$7*ABS(F29-1)*Inputs!$H$7</f>
        <v>0</v>
      </c>
      <c r="AJ29">
        <f>Inputs!$I$8*ABS(G29-1)*Inputs!$H$8</f>
        <v>0</v>
      </c>
      <c r="AK29">
        <f>Inputs!$I$9*ABS(H29-1)*Inputs!$H$9</f>
        <v>0</v>
      </c>
      <c r="AL29">
        <f t="shared" si="3"/>
        <v>-0.13556312638489637</v>
      </c>
      <c r="AN29" s="1">
        <f t="shared" si="4"/>
        <v>1.1323681307044</v>
      </c>
      <c r="AO29">
        <f t="shared" si="5"/>
        <v>3.6922490680804847E-3</v>
      </c>
      <c r="AP29">
        <f t="shared" si="1"/>
        <v>5.9246553205399648E-4</v>
      </c>
      <c r="AQ29" s="26">
        <f t="shared" si="6"/>
        <v>1.0024721182299323</v>
      </c>
      <c r="AR29">
        <f t="shared" si="7"/>
        <v>-4.4202306077737239E-4</v>
      </c>
    </row>
    <row r="30" spans="1:44" x14ac:dyDescent="0.25">
      <c r="A30">
        <v>0</v>
      </c>
      <c r="B30">
        <v>0</v>
      </c>
      <c r="C30">
        <v>0</v>
      </c>
      <c r="D30">
        <v>1</v>
      </c>
      <c r="E30">
        <v>1</v>
      </c>
      <c r="F30">
        <v>1</v>
      </c>
      <c r="G30">
        <v>1</v>
      </c>
      <c r="H30">
        <v>1</v>
      </c>
      <c r="J30">
        <f>(A30*Inputs!$E$2+ABS((A30-1))*(1-Inputs!$E$2))</f>
        <v>0.35</v>
      </c>
      <c r="K30">
        <f>(B30*Inputs!$E$3+ABS((B30-1))*(1-Inputs!$E$3))</f>
        <v>0.35</v>
      </c>
      <c r="L30">
        <f>(C30*Inputs!$E$4+ABS((C30-1))*(1-Inputs!$E$4))</f>
        <v>0.35</v>
      </c>
      <c r="M30">
        <f>(D30*Inputs!$E$5+ABS((D30-1))*(1-Inputs!$E$5))</f>
        <v>0.65</v>
      </c>
      <c r="N30">
        <f>(E30*Inputs!$E$6+ABS((E30-1))*(1-Inputs!$E$6))</f>
        <v>0.6</v>
      </c>
      <c r="O30">
        <f>(F30*Inputs!$E$7+ABS((F30-1))*(1-Inputs!$E$7))</f>
        <v>0.75</v>
      </c>
      <c r="P30">
        <f>(G30*Inputs!$E$8+ABS((G30-1))*(1-Inputs!$E$8))</f>
        <v>0.6</v>
      </c>
      <c r="Q30">
        <f>(H30*Inputs!$E$9+ABS((H30-1))*(1-Inputs!$E$9))</f>
        <v>0.65</v>
      </c>
      <c r="R30">
        <f t="shared" si="2"/>
        <v>4.8909656249999994E-3</v>
      </c>
      <c r="T30">
        <f>Inputs!$I$2*A30*Inputs!$G$2</f>
        <v>0</v>
      </c>
      <c r="U30">
        <f>Inputs!$I$3*B30*Inputs!$G$3</f>
        <v>0</v>
      </c>
      <c r="V30">
        <f>Inputs!$I$4*C30*Inputs!$G$4</f>
        <v>0</v>
      </c>
      <c r="W30">
        <f>Inputs!$I$5*D30*Inputs!$G$5</f>
        <v>0.20551679322687164</v>
      </c>
      <c r="X30">
        <f>Inputs!$I$6*E30*Inputs!$G$6</f>
        <v>0.37656981200100598</v>
      </c>
      <c r="Y30">
        <f>Inputs!$I$7*F30*Inputs!$G$7</f>
        <v>0.19972733373941395</v>
      </c>
      <c r="Z30">
        <f>Inputs!$I$8*G30*Inputs!$G$8</f>
        <v>0.76006970051755651</v>
      </c>
      <c r="AA30">
        <f>Inputs!$I$9*H30*Inputs!$G$9</f>
        <v>0.16590779367943137</v>
      </c>
      <c r="AB30">
        <f t="shared" si="0"/>
        <v>1.7077914331642794</v>
      </c>
      <c r="AD30">
        <f>Inputs!$I$2*ABS(A30-1)*Inputs!$H$2</f>
        <v>3.0082304526748989E-2</v>
      </c>
      <c r="AE30">
        <f>Inputs!$I$3*ABS(B30-1)*Inputs!$H$3</f>
        <v>1.1405796839520112E-2</v>
      </c>
      <c r="AF30">
        <f>Inputs!$I$4*ABS(C30-1)*Inputs!$H$4</f>
        <v>8.9678988679000853E-3</v>
      </c>
      <c r="AG30">
        <f>Inputs!$I$5*ABS(D30-1)*Inputs!$H$5</f>
        <v>0</v>
      </c>
      <c r="AH30">
        <f>Inputs!$I$6*ABS(E30-1)*Inputs!$H$6</f>
        <v>0</v>
      </c>
      <c r="AI30">
        <f>Inputs!$I$7*ABS(F30-1)*Inputs!$H$7</f>
        <v>0</v>
      </c>
      <c r="AJ30">
        <f>Inputs!$I$8*ABS(G30-1)*Inputs!$H$8</f>
        <v>0</v>
      </c>
      <c r="AK30">
        <f>Inputs!$I$9*ABS(H30-1)*Inputs!$H$9</f>
        <v>0</v>
      </c>
      <c r="AL30">
        <f t="shared" si="3"/>
        <v>-5.0456000234169185E-2</v>
      </c>
      <c r="AN30" s="1">
        <f t="shared" si="4"/>
        <v>1.6573354329301102</v>
      </c>
      <c r="AO30">
        <f t="shared" si="5"/>
        <v>8.1059706315556607E-3</v>
      </c>
      <c r="AP30">
        <f t="shared" si="1"/>
        <v>4.764830969248478E-5</v>
      </c>
      <c r="AQ30" s="26">
        <f t="shared" si="6"/>
        <v>1.0047915003183649</v>
      </c>
      <c r="AR30">
        <f t="shared" si="7"/>
        <v>-2.4677856272031339E-4</v>
      </c>
    </row>
    <row r="31" spans="1:44" x14ac:dyDescent="0.25">
      <c r="A31">
        <v>0</v>
      </c>
      <c r="B31">
        <v>0</v>
      </c>
      <c r="C31">
        <v>0</v>
      </c>
      <c r="D31">
        <v>1</v>
      </c>
      <c r="E31">
        <v>0</v>
      </c>
      <c r="F31">
        <v>1</v>
      </c>
      <c r="G31">
        <v>1</v>
      </c>
      <c r="H31">
        <v>1</v>
      </c>
      <c r="J31">
        <f>(A31*Inputs!$E$2+ABS((A31-1))*(1-Inputs!$E$2))</f>
        <v>0.35</v>
      </c>
      <c r="K31">
        <f>(B31*Inputs!$E$3+ABS((B31-1))*(1-Inputs!$E$3))</f>
        <v>0.35</v>
      </c>
      <c r="L31">
        <f>(C31*Inputs!$E$4+ABS((C31-1))*(1-Inputs!$E$4))</f>
        <v>0.35</v>
      </c>
      <c r="M31">
        <f>(D31*Inputs!$E$5+ABS((D31-1))*(1-Inputs!$E$5))</f>
        <v>0.65</v>
      </c>
      <c r="N31">
        <f>(E31*Inputs!$E$6+ABS((E31-1))*(1-Inputs!$E$6))</f>
        <v>0.4</v>
      </c>
      <c r="O31">
        <f>(F31*Inputs!$E$7+ABS((F31-1))*(1-Inputs!$E$7))</f>
        <v>0.75</v>
      </c>
      <c r="P31">
        <f>(G31*Inputs!$E$8+ABS((G31-1))*(1-Inputs!$E$8))</f>
        <v>0.6</v>
      </c>
      <c r="Q31">
        <f>(H31*Inputs!$E$9+ABS((H31-1))*(1-Inputs!$E$9))</f>
        <v>0.65</v>
      </c>
      <c r="R31">
        <f t="shared" si="2"/>
        <v>3.2606437499999997E-3</v>
      </c>
      <c r="T31">
        <f>Inputs!$I$2*A31*Inputs!$G$2</f>
        <v>0</v>
      </c>
      <c r="U31">
        <f>Inputs!$I$3*B31*Inputs!$G$3</f>
        <v>0</v>
      </c>
      <c r="V31">
        <f>Inputs!$I$4*C31*Inputs!$G$4</f>
        <v>0</v>
      </c>
      <c r="W31">
        <f>Inputs!$I$5*D31*Inputs!$G$5</f>
        <v>0.20551679322687164</v>
      </c>
      <c r="X31">
        <f>Inputs!$I$6*E31*Inputs!$G$6</f>
        <v>0</v>
      </c>
      <c r="Y31">
        <f>Inputs!$I$7*F31*Inputs!$G$7</f>
        <v>0.19972733373941395</v>
      </c>
      <c r="Z31">
        <f>Inputs!$I$8*G31*Inputs!$G$8</f>
        <v>0.76006970051755651</v>
      </c>
      <c r="AA31">
        <f>Inputs!$I$9*H31*Inputs!$G$9</f>
        <v>0.16590779367943137</v>
      </c>
      <c r="AB31">
        <f t="shared" si="0"/>
        <v>1.3312216211632735</v>
      </c>
      <c r="AD31">
        <f>Inputs!$I$2*ABS(A31-1)*Inputs!$H$2</f>
        <v>3.0082304526748989E-2</v>
      </c>
      <c r="AE31">
        <f>Inputs!$I$3*ABS(B31-1)*Inputs!$H$3</f>
        <v>1.1405796839520112E-2</v>
      </c>
      <c r="AF31">
        <f>Inputs!$I$4*ABS(C31-1)*Inputs!$H$4</f>
        <v>8.9678988679000853E-3</v>
      </c>
      <c r="AG31">
        <f>Inputs!$I$5*ABS(D31-1)*Inputs!$H$5</f>
        <v>0</v>
      </c>
      <c r="AH31">
        <f>Inputs!$I$6*ABS(E31-1)*Inputs!$H$6</f>
        <v>6.4042485034184693E-2</v>
      </c>
      <c r="AI31">
        <f>Inputs!$I$7*ABS(F31-1)*Inputs!$H$7</f>
        <v>0</v>
      </c>
      <c r="AJ31">
        <f>Inputs!$I$8*ABS(G31-1)*Inputs!$H$8</f>
        <v>0</v>
      </c>
      <c r="AK31">
        <f>Inputs!$I$9*ABS(H31-1)*Inputs!$H$9</f>
        <v>0</v>
      </c>
      <c r="AL31">
        <f t="shared" si="3"/>
        <v>-0.11449848526835388</v>
      </c>
      <c r="AN31" s="1">
        <f t="shared" si="4"/>
        <v>1.2167231358949195</v>
      </c>
      <c r="AO31">
        <f t="shared" si="5"/>
        <v>3.9673006885361699E-3</v>
      </c>
      <c r="AP31">
        <f t="shared" si="1"/>
        <v>3.8117765010326372E-4</v>
      </c>
      <c r="AQ31" s="26">
        <f t="shared" si="6"/>
        <v>1.0025989417854857</v>
      </c>
      <c r="AR31">
        <f t="shared" si="7"/>
        <v>-3.7333877037472513E-4</v>
      </c>
    </row>
    <row r="32" spans="1:44" x14ac:dyDescent="0.25">
      <c r="A32">
        <v>0</v>
      </c>
      <c r="B32">
        <v>0</v>
      </c>
      <c r="C32">
        <v>0</v>
      </c>
      <c r="D32">
        <v>0</v>
      </c>
      <c r="E32">
        <v>1</v>
      </c>
      <c r="F32">
        <v>1</v>
      </c>
      <c r="G32">
        <v>1</v>
      </c>
      <c r="H32">
        <v>1</v>
      </c>
      <c r="J32">
        <f>(A32*Inputs!$E$2+ABS((A32-1))*(1-Inputs!$E$2))</f>
        <v>0.35</v>
      </c>
      <c r="K32">
        <f>(B32*Inputs!$E$3+ABS((B32-1))*(1-Inputs!$E$3))</f>
        <v>0.35</v>
      </c>
      <c r="L32">
        <f>(C32*Inputs!$E$4+ABS((C32-1))*(1-Inputs!$E$4))</f>
        <v>0.35</v>
      </c>
      <c r="M32">
        <f>(D32*Inputs!$E$5+ABS((D32-1))*(1-Inputs!$E$5))</f>
        <v>0.35</v>
      </c>
      <c r="N32">
        <f>(E32*Inputs!$E$6+ABS((E32-1))*(1-Inputs!$E$6))</f>
        <v>0.6</v>
      </c>
      <c r="O32">
        <f>(F32*Inputs!$E$7+ABS((F32-1))*(1-Inputs!$E$7))</f>
        <v>0.75</v>
      </c>
      <c r="P32">
        <f>(G32*Inputs!$E$8+ABS((G32-1))*(1-Inputs!$E$8))</f>
        <v>0.6</v>
      </c>
      <c r="Q32">
        <f>(H32*Inputs!$E$9+ABS((H32-1))*(1-Inputs!$E$9))</f>
        <v>0.65</v>
      </c>
      <c r="R32">
        <f t="shared" si="2"/>
        <v>2.6335968749999989E-3</v>
      </c>
      <c r="T32">
        <f>Inputs!$I$2*A32*Inputs!$G$2</f>
        <v>0</v>
      </c>
      <c r="U32">
        <f>Inputs!$I$3*B32*Inputs!$G$3</f>
        <v>0</v>
      </c>
      <c r="V32">
        <f>Inputs!$I$4*C32*Inputs!$G$4</f>
        <v>0</v>
      </c>
      <c r="W32">
        <f>Inputs!$I$5*D32*Inputs!$G$5</f>
        <v>0</v>
      </c>
      <c r="X32">
        <f>Inputs!$I$6*E32*Inputs!$G$6</f>
        <v>0.37656981200100598</v>
      </c>
      <c r="Y32">
        <f>Inputs!$I$7*F32*Inputs!$G$7</f>
        <v>0.19972733373941395</v>
      </c>
      <c r="Z32">
        <f>Inputs!$I$8*G32*Inputs!$G$8</f>
        <v>0.76006970051755651</v>
      </c>
      <c r="AA32">
        <f>Inputs!$I$9*H32*Inputs!$G$9</f>
        <v>0.16590779367943137</v>
      </c>
      <c r="AB32">
        <f t="shared" si="0"/>
        <v>1.5022746399374078</v>
      </c>
      <c r="AD32">
        <f>Inputs!$I$2*ABS(A32-1)*Inputs!$H$2</f>
        <v>3.0082304526748989E-2</v>
      </c>
      <c r="AE32">
        <f>Inputs!$I$3*ABS(B32-1)*Inputs!$H$3</f>
        <v>1.1405796839520112E-2</v>
      </c>
      <c r="AF32">
        <f>Inputs!$I$4*ABS(C32-1)*Inputs!$H$4</f>
        <v>8.9678988679000853E-3</v>
      </c>
      <c r="AG32">
        <f>Inputs!$I$5*ABS(D32-1)*Inputs!$H$5</f>
        <v>3.0032539984442563E-2</v>
      </c>
      <c r="AH32">
        <f>Inputs!$I$6*ABS(E32-1)*Inputs!$H$6</f>
        <v>0</v>
      </c>
      <c r="AI32">
        <f>Inputs!$I$7*ABS(F32-1)*Inputs!$H$7</f>
        <v>0</v>
      </c>
      <c r="AJ32">
        <f>Inputs!$I$8*ABS(G32-1)*Inputs!$H$8</f>
        <v>0</v>
      </c>
      <c r="AK32">
        <f>Inputs!$I$9*ABS(H32-1)*Inputs!$H$9</f>
        <v>0</v>
      </c>
      <c r="AL32">
        <f t="shared" si="3"/>
        <v>-8.0488540218611751E-2</v>
      </c>
      <c r="AN32" s="1">
        <f t="shared" si="4"/>
        <v>1.4217860997187961</v>
      </c>
      <c r="AO32">
        <f t="shared" si="5"/>
        <v>3.7444114291378581E-3</v>
      </c>
      <c r="AP32">
        <f t="shared" si="1"/>
        <v>4.9319795448076697E-5</v>
      </c>
      <c r="AQ32" s="26">
        <f t="shared" si="6"/>
        <v>1.0023321456926555</v>
      </c>
      <c r="AR32">
        <f t="shared" si="7"/>
        <v>-2.1197436799304763E-4</v>
      </c>
    </row>
    <row r="33" spans="1:44" x14ac:dyDescent="0.25">
      <c r="A33">
        <v>0</v>
      </c>
      <c r="B33">
        <v>0</v>
      </c>
      <c r="C33">
        <v>0</v>
      </c>
      <c r="D33">
        <v>0</v>
      </c>
      <c r="E33">
        <v>0</v>
      </c>
      <c r="F33">
        <v>1</v>
      </c>
      <c r="G33">
        <v>1</v>
      </c>
      <c r="H33">
        <v>1</v>
      </c>
      <c r="J33">
        <f>(A33*Inputs!$E$2+ABS((A33-1))*(1-Inputs!$E$2))</f>
        <v>0.35</v>
      </c>
      <c r="K33">
        <f>(B33*Inputs!$E$3+ABS((B33-1))*(1-Inputs!$E$3))</f>
        <v>0.35</v>
      </c>
      <c r="L33">
        <f>(C33*Inputs!$E$4+ABS((C33-1))*(1-Inputs!$E$4))</f>
        <v>0.35</v>
      </c>
      <c r="M33">
        <f>(D33*Inputs!$E$5+ABS((D33-1))*(1-Inputs!$E$5))</f>
        <v>0.35</v>
      </c>
      <c r="N33">
        <f>(E33*Inputs!$E$6+ABS((E33-1))*(1-Inputs!$E$6))</f>
        <v>0.4</v>
      </c>
      <c r="O33">
        <f>(F33*Inputs!$E$7+ABS((F33-1))*(1-Inputs!$E$7))</f>
        <v>0.75</v>
      </c>
      <c r="P33">
        <f>(G33*Inputs!$E$8+ABS((G33-1))*(1-Inputs!$E$8))</f>
        <v>0.6</v>
      </c>
      <c r="Q33">
        <f>(H33*Inputs!$E$9+ABS((H33-1))*(1-Inputs!$E$9))</f>
        <v>0.65</v>
      </c>
      <c r="R33">
        <f t="shared" si="2"/>
        <v>1.7557312499999994E-3</v>
      </c>
      <c r="T33">
        <f>Inputs!$I$2*A33*Inputs!$G$2</f>
        <v>0</v>
      </c>
      <c r="U33">
        <f>Inputs!$I$3*B33*Inputs!$G$3</f>
        <v>0</v>
      </c>
      <c r="V33">
        <f>Inputs!$I$4*C33*Inputs!$G$4</f>
        <v>0</v>
      </c>
      <c r="W33">
        <f>Inputs!$I$5*D33*Inputs!$G$5</f>
        <v>0</v>
      </c>
      <c r="X33">
        <f>Inputs!$I$6*E33*Inputs!$G$6</f>
        <v>0</v>
      </c>
      <c r="Y33">
        <f>Inputs!$I$7*F33*Inputs!$G$7</f>
        <v>0.19972733373941395</v>
      </c>
      <c r="Z33">
        <f>Inputs!$I$8*G33*Inputs!$G$8</f>
        <v>0.76006970051755651</v>
      </c>
      <c r="AA33">
        <f>Inputs!$I$9*H33*Inputs!$G$9</f>
        <v>0.16590779367943137</v>
      </c>
      <c r="AB33">
        <f t="shared" si="0"/>
        <v>1.1257048279364019</v>
      </c>
      <c r="AD33">
        <f>Inputs!$I$2*ABS(A33-1)*Inputs!$H$2</f>
        <v>3.0082304526748989E-2</v>
      </c>
      <c r="AE33">
        <f>Inputs!$I$3*ABS(B33-1)*Inputs!$H$3</f>
        <v>1.1405796839520112E-2</v>
      </c>
      <c r="AF33">
        <f>Inputs!$I$4*ABS(C33-1)*Inputs!$H$4</f>
        <v>8.9678988679000853E-3</v>
      </c>
      <c r="AG33">
        <f>Inputs!$I$5*ABS(D33-1)*Inputs!$H$5</f>
        <v>3.0032539984442563E-2</v>
      </c>
      <c r="AH33">
        <f>Inputs!$I$6*ABS(E33-1)*Inputs!$H$6</f>
        <v>6.4042485034184693E-2</v>
      </c>
      <c r="AI33">
        <f>Inputs!$I$7*ABS(F33-1)*Inputs!$H$7</f>
        <v>0</v>
      </c>
      <c r="AJ33">
        <f>Inputs!$I$8*ABS(G33-1)*Inputs!$H$8</f>
        <v>0</v>
      </c>
      <c r="AK33">
        <f>Inputs!$I$9*ABS(H33-1)*Inputs!$H$9</f>
        <v>0</v>
      </c>
      <c r="AL33">
        <f t="shared" si="3"/>
        <v>-0.14453102525279643</v>
      </c>
      <c r="AN33" s="1">
        <f t="shared" si="4"/>
        <v>0.98117380268360543</v>
      </c>
      <c r="AO33">
        <f t="shared" si="5"/>
        <v>1.7226775070529393E-3</v>
      </c>
      <c r="AP33">
        <f t="shared" si="1"/>
        <v>5.8546525705983465E-4</v>
      </c>
      <c r="AQ33" s="26">
        <f t="shared" si="6"/>
        <v>1.0012010957565967</v>
      </c>
      <c r="AR33">
        <f t="shared" si="7"/>
        <v>-2.5375763763087374E-4</v>
      </c>
    </row>
    <row r="34" spans="1:44" x14ac:dyDescent="0.25">
      <c r="A34">
        <v>1</v>
      </c>
      <c r="B34">
        <v>1</v>
      </c>
      <c r="C34">
        <v>1</v>
      </c>
      <c r="D34">
        <v>1</v>
      </c>
      <c r="E34">
        <v>1</v>
      </c>
      <c r="F34">
        <v>0</v>
      </c>
      <c r="G34">
        <v>1</v>
      </c>
      <c r="H34">
        <v>1</v>
      </c>
      <c r="J34">
        <f>(A34*Inputs!$E$2+ABS((A34-1))*(1-Inputs!$E$2))</f>
        <v>0.65</v>
      </c>
      <c r="K34">
        <f>(B34*Inputs!$E$3+ABS((B34-1))*(1-Inputs!$E$3))</f>
        <v>0.65</v>
      </c>
      <c r="L34">
        <f>(C34*Inputs!$E$4+ABS((C34-1))*(1-Inputs!$E$4))</f>
        <v>0.65</v>
      </c>
      <c r="M34">
        <f>(D34*Inputs!$E$5+ABS((D34-1))*(1-Inputs!$E$5))</f>
        <v>0.65</v>
      </c>
      <c r="N34">
        <f>(E34*Inputs!$E$6+ABS((E34-1))*(1-Inputs!$E$6))</f>
        <v>0.6</v>
      </c>
      <c r="O34">
        <f>(F34*Inputs!$E$7+ABS((F34-1))*(1-Inputs!$E$7))</f>
        <v>0.25</v>
      </c>
      <c r="P34">
        <f>(G34*Inputs!$E$8+ABS((G34-1))*(1-Inputs!$E$8))</f>
        <v>0.6</v>
      </c>
      <c r="Q34">
        <f>(H34*Inputs!$E$9+ABS((H34-1))*(1-Inputs!$E$9))</f>
        <v>0.65</v>
      </c>
      <c r="R34">
        <f t="shared" si="2"/>
        <v>1.0442615625000004E-2</v>
      </c>
      <c r="T34">
        <f>Inputs!$I$2*A34*Inputs!$G$2</f>
        <v>0.52958847736625514</v>
      </c>
      <c r="U34">
        <f>Inputs!$I$3*B34*Inputs!$G$3</f>
        <v>0.20645773829738062</v>
      </c>
      <c r="V34">
        <f>Inputs!$I$4*C34*Inputs!$G$4</f>
        <v>0.1422264291528948</v>
      </c>
      <c r="W34">
        <f>Inputs!$I$5*D34*Inputs!$G$5</f>
        <v>0.20551679322687164</v>
      </c>
      <c r="X34">
        <f>Inputs!$I$6*E34*Inputs!$G$6</f>
        <v>0.37656981200100598</v>
      </c>
      <c r="Y34">
        <f>Inputs!$I$7*F34*Inputs!$G$7</f>
        <v>0</v>
      </c>
      <c r="Z34">
        <f>Inputs!$I$8*G34*Inputs!$G$8</f>
        <v>0.76006970051755651</v>
      </c>
      <c r="AA34">
        <f>Inputs!$I$9*H34*Inputs!$G$9</f>
        <v>0.16590779367943137</v>
      </c>
      <c r="AB34">
        <f t="shared" ref="AB34:AB97" si="8">SUM(T34:AA34)</f>
        <v>2.3863367442413956</v>
      </c>
      <c r="AD34">
        <f>Inputs!$I$2*ABS(A34-1)*Inputs!$H$2</f>
        <v>0</v>
      </c>
      <c r="AE34">
        <f>Inputs!$I$3*ABS(B34-1)*Inputs!$H$3</f>
        <v>0</v>
      </c>
      <c r="AF34">
        <f>Inputs!$I$4*ABS(C34-1)*Inputs!$H$4</f>
        <v>0</v>
      </c>
      <c r="AG34">
        <f>Inputs!$I$5*ABS(D34-1)*Inputs!$H$5</f>
        <v>0</v>
      </c>
      <c r="AH34">
        <f>Inputs!$I$6*ABS(E34-1)*Inputs!$H$6</f>
        <v>0</v>
      </c>
      <c r="AI34">
        <f>Inputs!$I$7*ABS(F34-1)*Inputs!$H$7</f>
        <v>1.49493001411365E-2</v>
      </c>
      <c r="AJ34">
        <f>Inputs!$I$8*ABS(G34-1)*Inputs!$H$8</f>
        <v>0</v>
      </c>
      <c r="AK34">
        <f>Inputs!$I$9*ABS(H34-1)*Inputs!$H$9</f>
        <v>0</v>
      </c>
      <c r="AL34">
        <f t="shared" si="3"/>
        <v>-1.49493001411365E-2</v>
      </c>
      <c r="AN34" s="1">
        <f t="shared" si="4"/>
        <v>2.3713874441002591</v>
      </c>
      <c r="AO34">
        <f t="shared" ref="AO34:AO97" si="9">AN34*R34</f>
        <v>2.4763487576690189E-2</v>
      </c>
      <c r="AP34">
        <f t="shared" ref="AP34:AP97" si="10">(AN34-$AO$258)^2*R34</f>
        <v>6.8980709193692778E-3</v>
      </c>
      <c r="AQ34" s="26">
        <f t="shared" si="6"/>
        <v>1.0127720398000268</v>
      </c>
      <c r="AR34">
        <f t="shared" si="7"/>
        <v>-1.5610979523664678E-4</v>
      </c>
    </row>
    <row r="35" spans="1:44" x14ac:dyDescent="0.25">
      <c r="A35">
        <v>1</v>
      </c>
      <c r="B35">
        <v>1</v>
      </c>
      <c r="C35">
        <v>1</v>
      </c>
      <c r="D35">
        <v>1</v>
      </c>
      <c r="E35">
        <v>0</v>
      </c>
      <c r="F35">
        <v>0</v>
      </c>
      <c r="G35">
        <v>1</v>
      </c>
      <c r="H35">
        <v>1</v>
      </c>
      <c r="J35">
        <f>(A35*Inputs!$E$2+ABS((A35-1))*(1-Inputs!$E$2))</f>
        <v>0.65</v>
      </c>
      <c r="K35">
        <f>(B35*Inputs!$E$3+ABS((B35-1))*(1-Inputs!$E$3))</f>
        <v>0.65</v>
      </c>
      <c r="L35">
        <f>(C35*Inputs!$E$4+ABS((C35-1))*(1-Inputs!$E$4))</f>
        <v>0.65</v>
      </c>
      <c r="M35">
        <f>(D35*Inputs!$E$5+ABS((D35-1))*(1-Inputs!$E$5))</f>
        <v>0.65</v>
      </c>
      <c r="N35">
        <f>(E35*Inputs!$E$6+ABS((E35-1))*(1-Inputs!$E$6))</f>
        <v>0.4</v>
      </c>
      <c r="O35">
        <f>(F35*Inputs!$E$7+ABS((F35-1))*(1-Inputs!$E$7))</f>
        <v>0.25</v>
      </c>
      <c r="P35">
        <f>(G35*Inputs!$E$8+ABS((G35-1))*(1-Inputs!$E$8))</f>
        <v>0.6</v>
      </c>
      <c r="Q35">
        <f>(H35*Inputs!$E$9+ABS((H35-1))*(1-Inputs!$E$9))</f>
        <v>0.65</v>
      </c>
      <c r="R35">
        <f t="shared" si="2"/>
        <v>6.9617437500000025E-3</v>
      </c>
      <c r="T35">
        <f>Inputs!$I$2*A35*Inputs!$G$2</f>
        <v>0.52958847736625514</v>
      </c>
      <c r="U35">
        <f>Inputs!$I$3*B35*Inputs!$G$3</f>
        <v>0.20645773829738062</v>
      </c>
      <c r="V35">
        <f>Inputs!$I$4*C35*Inputs!$G$4</f>
        <v>0.1422264291528948</v>
      </c>
      <c r="W35">
        <f>Inputs!$I$5*D35*Inputs!$G$5</f>
        <v>0.20551679322687164</v>
      </c>
      <c r="X35">
        <f>Inputs!$I$6*E35*Inputs!$G$6</f>
        <v>0</v>
      </c>
      <c r="Y35">
        <f>Inputs!$I$7*F35*Inputs!$G$7</f>
        <v>0</v>
      </c>
      <c r="Z35">
        <f>Inputs!$I$8*G35*Inputs!$G$8</f>
        <v>0.76006970051755651</v>
      </c>
      <c r="AA35">
        <f>Inputs!$I$9*H35*Inputs!$G$9</f>
        <v>0.16590779367943137</v>
      </c>
      <c r="AB35">
        <f t="shared" si="8"/>
        <v>2.0097669322403902</v>
      </c>
      <c r="AD35">
        <f>Inputs!$I$2*ABS(A35-1)*Inputs!$H$2</f>
        <v>0</v>
      </c>
      <c r="AE35">
        <f>Inputs!$I$3*ABS(B35-1)*Inputs!$H$3</f>
        <v>0</v>
      </c>
      <c r="AF35">
        <f>Inputs!$I$4*ABS(C35-1)*Inputs!$H$4</f>
        <v>0</v>
      </c>
      <c r="AG35">
        <f>Inputs!$I$5*ABS(D35-1)*Inputs!$H$5</f>
        <v>0</v>
      </c>
      <c r="AH35">
        <f>Inputs!$I$6*ABS(E35-1)*Inputs!$H$6</f>
        <v>6.4042485034184693E-2</v>
      </c>
      <c r="AI35">
        <f>Inputs!$I$7*ABS(F35-1)*Inputs!$H$7</f>
        <v>1.49493001411365E-2</v>
      </c>
      <c r="AJ35">
        <f>Inputs!$I$8*ABS(G35-1)*Inputs!$H$8</f>
        <v>0</v>
      </c>
      <c r="AK35">
        <f>Inputs!$I$9*ABS(H35-1)*Inputs!$H$9</f>
        <v>0</v>
      </c>
      <c r="AL35">
        <f t="shared" si="3"/>
        <v>-7.8991785175321197E-2</v>
      </c>
      <c r="AN35" s="1">
        <f t="shared" si="4"/>
        <v>1.9307751470650689</v>
      </c>
      <c r="AO35">
        <f t="shared" si="9"/>
        <v>1.344156181273558E-2</v>
      </c>
      <c r="AP35">
        <f t="shared" si="10"/>
        <v>9.641286790965807E-4</v>
      </c>
      <c r="AQ35" s="26">
        <f t="shared" si="6"/>
        <v>1.0075138210641936</v>
      </c>
      <c r="AR35">
        <f t="shared" si="7"/>
        <v>-5.499205667456352E-4</v>
      </c>
    </row>
    <row r="36" spans="1:44" x14ac:dyDescent="0.25">
      <c r="A36">
        <v>1</v>
      </c>
      <c r="B36">
        <v>1</v>
      </c>
      <c r="C36">
        <v>1</v>
      </c>
      <c r="D36">
        <v>0</v>
      </c>
      <c r="E36">
        <v>1</v>
      </c>
      <c r="F36">
        <v>0</v>
      </c>
      <c r="G36">
        <v>1</v>
      </c>
      <c r="H36">
        <v>1</v>
      </c>
      <c r="J36">
        <f>(A36*Inputs!$E$2+ABS((A36-1))*(1-Inputs!$E$2))</f>
        <v>0.65</v>
      </c>
      <c r="K36">
        <f>(B36*Inputs!$E$3+ABS((B36-1))*(1-Inputs!$E$3))</f>
        <v>0.65</v>
      </c>
      <c r="L36">
        <f>(C36*Inputs!$E$4+ABS((C36-1))*(1-Inputs!$E$4))</f>
        <v>0.65</v>
      </c>
      <c r="M36">
        <f>(D36*Inputs!$E$5+ABS((D36-1))*(1-Inputs!$E$5))</f>
        <v>0.35</v>
      </c>
      <c r="N36">
        <f>(E36*Inputs!$E$6+ABS((E36-1))*(1-Inputs!$E$6))</f>
        <v>0.6</v>
      </c>
      <c r="O36">
        <f>(F36*Inputs!$E$7+ABS((F36-1))*(1-Inputs!$E$7))</f>
        <v>0.25</v>
      </c>
      <c r="P36">
        <f>(G36*Inputs!$E$8+ABS((G36-1))*(1-Inputs!$E$8))</f>
        <v>0.6</v>
      </c>
      <c r="Q36">
        <f>(H36*Inputs!$E$9+ABS((H36-1))*(1-Inputs!$E$9))</f>
        <v>0.65</v>
      </c>
      <c r="R36">
        <f t="shared" si="2"/>
        <v>5.6229468750000006E-3</v>
      </c>
      <c r="T36">
        <f>Inputs!$I$2*A36*Inputs!$G$2</f>
        <v>0.52958847736625514</v>
      </c>
      <c r="U36">
        <f>Inputs!$I$3*B36*Inputs!$G$3</f>
        <v>0.20645773829738062</v>
      </c>
      <c r="V36">
        <f>Inputs!$I$4*C36*Inputs!$G$4</f>
        <v>0.1422264291528948</v>
      </c>
      <c r="W36">
        <f>Inputs!$I$5*D36*Inputs!$G$5</f>
        <v>0</v>
      </c>
      <c r="X36">
        <f>Inputs!$I$6*E36*Inputs!$G$6</f>
        <v>0.37656981200100598</v>
      </c>
      <c r="Y36">
        <f>Inputs!$I$7*F36*Inputs!$G$7</f>
        <v>0</v>
      </c>
      <c r="Z36">
        <f>Inputs!$I$8*G36*Inputs!$G$8</f>
        <v>0.76006970051755651</v>
      </c>
      <c r="AA36">
        <f>Inputs!$I$9*H36*Inputs!$G$9</f>
        <v>0.16590779367943137</v>
      </c>
      <c r="AB36">
        <f t="shared" si="8"/>
        <v>2.1808199510145245</v>
      </c>
      <c r="AD36">
        <f>Inputs!$I$2*ABS(A36-1)*Inputs!$H$2</f>
        <v>0</v>
      </c>
      <c r="AE36">
        <f>Inputs!$I$3*ABS(B36-1)*Inputs!$H$3</f>
        <v>0</v>
      </c>
      <c r="AF36">
        <f>Inputs!$I$4*ABS(C36-1)*Inputs!$H$4</f>
        <v>0</v>
      </c>
      <c r="AG36">
        <f>Inputs!$I$5*ABS(D36-1)*Inputs!$H$5</f>
        <v>3.0032539984442563E-2</v>
      </c>
      <c r="AH36">
        <f>Inputs!$I$6*ABS(E36-1)*Inputs!$H$6</f>
        <v>0</v>
      </c>
      <c r="AI36">
        <f>Inputs!$I$7*ABS(F36-1)*Inputs!$H$7</f>
        <v>1.49493001411365E-2</v>
      </c>
      <c r="AJ36">
        <f>Inputs!$I$8*ABS(G36-1)*Inputs!$H$8</f>
        <v>0</v>
      </c>
      <c r="AK36">
        <f>Inputs!$I$9*ABS(H36-1)*Inputs!$H$9</f>
        <v>0</v>
      </c>
      <c r="AL36">
        <f t="shared" si="3"/>
        <v>-4.4981840125579063E-2</v>
      </c>
      <c r="AN36" s="1">
        <f t="shared" si="4"/>
        <v>2.1358381108889453</v>
      </c>
      <c r="AO36">
        <f t="shared" si="9"/>
        <v>1.20097042311289E-2</v>
      </c>
      <c r="AP36">
        <f t="shared" si="10"/>
        <v>1.8733711713228027E-3</v>
      </c>
      <c r="AQ36" s="26">
        <f t="shared" si="6"/>
        <v>1.006447140092346</v>
      </c>
      <c r="AR36">
        <f t="shared" si="7"/>
        <v>-2.529304973658744E-4</v>
      </c>
    </row>
    <row r="37" spans="1:44" x14ac:dyDescent="0.25">
      <c r="A37">
        <v>1</v>
      </c>
      <c r="B37">
        <v>1</v>
      </c>
      <c r="C37">
        <v>1</v>
      </c>
      <c r="D37">
        <v>0</v>
      </c>
      <c r="E37">
        <v>0</v>
      </c>
      <c r="F37">
        <v>0</v>
      </c>
      <c r="G37">
        <v>1</v>
      </c>
      <c r="H37">
        <v>1</v>
      </c>
      <c r="J37">
        <f>(A37*Inputs!$E$2+ABS((A37-1))*(1-Inputs!$E$2))</f>
        <v>0.65</v>
      </c>
      <c r="K37">
        <f>(B37*Inputs!$E$3+ABS((B37-1))*(1-Inputs!$E$3))</f>
        <v>0.65</v>
      </c>
      <c r="L37">
        <f>(C37*Inputs!$E$4+ABS((C37-1))*(1-Inputs!$E$4))</f>
        <v>0.65</v>
      </c>
      <c r="M37">
        <f>(D37*Inputs!$E$5+ABS((D37-1))*(1-Inputs!$E$5))</f>
        <v>0.35</v>
      </c>
      <c r="N37">
        <f>(E37*Inputs!$E$6+ABS((E37-1))*(1-Inputs!$E$6))</f>
        <v>0.4</v>
      </c>
      <c r="O37">
        <f>(F37*Inputs!$E$7+ABS((F37-1))*(1-Inputs!$E$7))</f>
        <v>0.25</v>
      </c>
      <c r="P37">
        <f>(G37*Inputs!$E$8+ABS((G37-1))*(1-Inputs!$E$8))</f>
        <v>0.6</v>
      </c>
      <c r="Q37">
        <f>(H37*Inputs!$E$9+ABS((H37-1))*(1-Inputs!$E$9))</f>
        <v>0.65</v>
      </c>
      <c r="R37">
        <f t="shared" si="2"/>
        <v>3.7486312500000008E-3</v>
      </c>
      <c r="T37">
        <f>Inputs!$I$2*A37*Inputs!$G$2</f>
        <v>0.52958847736625514</v>
      </c>
      <c r="U37">
        <f>Inputs!$I$3*B37*Inputs!$G$3</f>
        <v>0.20645773829738062</v>
      </c>
      <c r="V37">
        <f>Inputs!$I$4*C37*Inputs!$G$4</f>
        <v>0.1422264291528948</v>
      </c>
      <c r="W37">
        <f>Inputs!$I$5*D37*Inputs!$G$5</f>
        <v>0</v>
      </c>
      <c r="X37">
        <f>Inputs!$I$6*E37*Inputs!$G$6</f>
        <v>0</v>
      </c>
      <c r="Y37">
        <f>Inputs!$I$7*F37*Inputs!$G$7</f>
        <v>0</v>
      </c>
      <c r="Z37">
        <f>Inputs!$I$8*G37*Inputs!$G$8</f>
        <v>0.76006970051755651</v>
      </c>
      <c r="AA37">
        <f>Inputs!$I$9*H37*Inputs!$G$9</f>
        <v>0.16590779367943137</v>
      </c>
      <c r="AB37">
        <f t="shared" si="8"/>
        <v>1.8042501390135184</v>
      </c>
      <c r="AD37">
        <f>Inputs!$I$2*ABS(A37-1)*Inputs!$H$2</f>
        <v>0</v>
      </c>
      <c r="AE37">
        <f>Inputs!$I$3*ABS(B37-1)*Inputs!$H$3</f>
        <v>0</v>
      </c>
      <c r="AF37">
        <f>Inputs!$I$4*ABS(C37-1)*Inputs!$H$4</f>
        <v>0</v>
      </c>
      <c r="AG37">
        <f>Inputs!$I$5*ABS(D37-1)*Inputs!$H$5</f>
        <v>3.0032539984442563E-2</v>
      </c>
      <c r="AH37">
        <f>Inputs!$I$6*ABS(E37-1)*Inputs!$H$6</f>
        <v>6.4042485034184693E-2</v>
      </c>
      <c r="AI37">
        <f>Inputs!$I$7*ABS(F37-1)*Inputs!$H$7</f>
        <v>1.49493001411365E-2</v>
      </c>
      <c r="AJ37">
        <f>Inputs!$I$8*ABS(G37-1)*Inputs!$H$8</f>
        <v>0</v>
      </c>
      <c r="AK37">
        <f>Inputs!$I$9*ABS(H37-1)*Inputs!$H$9</f>
        <v>0</v>
      </c>
      <c r="AL37">
        <f t="shared" si="3"/>
        <v>-0.10902432515976376</v>
      </c>
      <c r="AN37" s="1">
        <f t="shared" si="4"/>
        <v>1.6952258138537546</v>
      </c>
      <c r="AO37">
        <f t="shared" si="9"/>
        <v>6.3547764616188685E-3</v>
      </c>
      <c r="AP37">
        <f t="shared" si="10"/>
        <v>6.9940121390305737E-5</v>
      </c>
      <c r="AQ37" s="26">
        <f t="shared" si="6"/>
        <v>1.0037236158702336</v>
      </c>
      <c r="AR37">
        <f t="shared" si="7"/>
        <v>-4.0869199230405179E-4</v>
      </c>
    </row>
    <row r="38" spans="1:44" x14ac:dyDescent="0.25">
      <c r="A38">
        <v>1</v>
      </c>
      <c r="B38">
        <v>1</v>
      </c>
      <c r="C38">
        <v>0</v>
      </c>
      <c r="D38">
        <v>1</v>
      </c>
      <c r="E38">
        <v>1</v>
      </c>
      <c r="F38">
        <v>0</v>
      </c>
      <c r="G38">
        <v>1</v>
      </c>
      <c r="H38">
        <v>1</v>
      </c>
      <c r="J38">
        <f>(A38*Inputs!$E$2+ABS((A38-1))*(1-Inputs!$E$2))</f>
        <v>0.65</v>
      </c>
      <c r="K38">
        <f>(B38*Inputs!$E$3+ABS((B38-1))*(1-Inputs!$E$3))</f>
        <v>0.65</v>
      </c>
      <c r="L38">
        <f>(C38*Inputs!$E$4+ABS((C38-1))*(1-Inputs!$E$4))</f>
        <v>0.35</v>
      </c>
      <c r="M38">
        <f>(D38*Inputs!$E$5+ABS((D38-1))*(1-Inputs!$E$5))</f>
        <v>0.65</v>
      </c>
      <c r="N38">
        <f>(E38*Inputs!$E$6+ABS((E38-1))*(1-Inputs!$E$6))</f>
        <v>0.6</v>
      </c>
      <c r="O38">
        <f>(F38*Inputs!$E$7+ABS((F38-1))*(1-Inputs!$E$7))</f>
        <v>0.25</v>
      </c>
      <c r="P38">
        <f>(G38*Inputs!$E$8+ABS((G38-1))*(1-Inputs!$E$8))</f>
        <v>0.6</v>
      </c>
      <c r="Q38">
        <f>(H38*Inputs!$E$9+ABS((H38-1))*(1-Inputs!$E$9))</f>
        <v>0.65</v>
      </c>
      <c r="R38">
        <f t="shared" si="2"/>
        <v>5.6229468750000006E-3</v>
      </c>
      <c r="T38">
        <f>Inputs!$I$2*A38*Inputs!$G$2</f>
        <v>0.52958847736625514</v>
      </c>
      <c r="U38">
        <f>Inputs!$I$3*B38*Inputs!$G$3</f>
        <v>0.20645773829738062</v>
      </c>
      <c r="V38">
        <f>Inputs!$I$4*C38*Inputs!$G$4</f>
        <v>0</v>
      </c>
      <c r="W38">
        <f>Inputs!$I$5*D38*Inputs!$G$5</f>
        <v>0.20551679322687164</v>
      </c>
      <c r="X38">
        <f>Inputs!$I$6*E38*Inputs!$G$6</f>
        <v>0.37656981200100598</v>
      </c>
      <c r="Y38">
        <f>Inputs!$I$7*F38*Inputs!$G$7</f>
        <v>0</v>
      </c>
      <c r="Z38">
        <f>Inputs!$I$8*G38*Inputs!$G$8</f>
        <v>0.76006970051755651</v>
      </c>
      <c r="AA38">
        <f>Inputs!$I$9*H38*Inputs!$G$9</f>
        <v>0.16590779367943137</v>
      </c>
      <c r="AB38">
        <f t="shared" si="8"/>
        <v>2.2441103150885011</v>
      </c>
      <c r="AD38">
        <f>Inputs!$I$2*ABS(A38-1)*Inputs!$H$2</f>
        <v>0</v>
      </c>
      <c r="AE38">
        <f>Inputs!$I$3*ABS(B38-1)*Inputs!$H$3</f>
        <v>0</v>
      </c>
      <c r="AF38">
        <f>Inputs!$I$4*ABS(C38-1)*Inputs!$H$4</f>
        <v>8.9678988679000853E-3</v>
      </c>
      <c r="AG38">
        <f>Inputs!$I$5*ABS(D38-1)*Inputs!$H$5</f>
        <v>0</v>
      </c>
      <c r="AH38">
        <f>Inputs!$I$6*ABS(E38-1)*Inputs!$H$6</f>
        <v>0</v>
      </c>
      <c r="AI38">
        <f>Inputs!$I$7*ABS(F38-1)*Inputs!$H$7</f>
        <v>1.49493001411365E-2</v>
      </c>
      <c r="AJ38">
        <f>Inputs!$I$8*ABS(G38-1)*Inputs!$H$8</f>
        <v>0</v>
      </c>
      <c r="AK38">
        <f>Inputs!$I$9*ABS(H38-1)*Inputs!$H$9</f>
        <v>0</v>
      </c>
      <c r="AL38">
        <f t="shared" si="3"/>
        <v>-2.3917199009036584E-2</v>
      </c>
      <c r="AN38" s="1">
        <f t="shared" si="4"/>
        <v>2.2201931160794643</v>
      </c>
      <c r="AO38">
        <f t="shared" si="9"/>
        <v>1.2484027943955537E-2</v>
      </c>
      <c r="AP38">
        <f t="shared" si="10"/>
        <v>2.4609465883199738E-3</v>
      </c>
      <c r="AQ38" s="26">
        <f t="shared" si="6"/>
        <v>1.0065973739062586</v>
      </c>
      <c r="AR38">
        <f t="shared" si="7"/>
        <v>-1.3448513942661538E-4</v>
      </c>
    </row>
    <row r="39" spans="1:44" x14ac:dyDescent="0.25">
      <c r="A39">
        <v>1</v>
      </c>
      <c r="B39">
        <v>1</v>
      </c>
      <c r="C39">
        <v>0</v>
      </c>
      <c r="D39">
        <v>1</v>
      </c>
      <c r="E39">
        <v>0</v>
      </c>
      <c r="F39">
        <v>0</v>
      </c>
      <c r="G39">
        <v>1</v>
      </c>
      <c r="H39">
        <v>1</v>
      </c>
      <c r="J39">
        <f>(A39*Inputs!$E$2+ABS((A39-1))*(1-Inputs!$E$2))</f>
        <v>0.65</v>
      </c>
      <c r="K39">
        <f>(B39*Inputs!$E$3+ABS((B39-1))*(1-Inputs!$E$3))</f>
        <v>0.65</v>
      </c>
      <c r="L39">
        <f>(C39*Inputs!$E$4+ABS((C39-1))*(1-Inputs!$E$4))</f>
        <v>0.35</v>
      </c>
      <c r="M39">
        <f>(D39*Inputs!$E$5+ABS((D39-1))*(1-Inputs!$E$5))</f>
        <v>0.65</v>
      </c>
      <c r="N39">
        <f>(E39*Inputs!$E$6+ABS((E39-1))*(1-Inputs!$E$6))</f>
        <v>0.4</v>
      </c>
      <c r="O39">
        <f>(F39*Inputs!$E$7+ABS((F39-1))*(1-Inputs!$E$7))</f>
        <v>0.25</v>
      </c>
      <c r="P39">
        <f>(G39*Inputs!$E$8+ABS((G39-1))*(1-Inputs!$E$8))</f>
        <v>0.6</v>
      </c>
      <c r="Q39">
        <f>(H39*Inputs!$E$9+ABS((H39-1))*(1-Inputs!$E$9))</f>
        <v>0.65</v>
      </c>
      <c r="R39">
        <f t="shared" si="2"/>
        <v>3.7486312500000004E-3</v>
      </c>
      <c r="T39">
        <f>Inputs!$I$2*A39*Inputs!$G$2</f>
        <v>0.52958847736625514</v>
      </c>
      <c r="U39">
        <f>Inputs!$I$3*B39*Inputs!$G$3</f>
        <v>0.20645773829738062</v>
      </c>
      <c r="V39">
        <f>Inputs!$I$4*C39*Inputs!$G$4</f>
        <v>0</v>
      </c>
      <c r="W39">
        <f>Inputs!$I$5*D39*Inputs!$G$5</f>
        <v>0.20551679322687164</v>
      </c>
      <c r="X39">
        <f>Inputs!$I$6*E39*Inputs!$G$6</f>
        <v>0</v>
      </c>
      <c r="Y39">
        <f>Inputs!$I$7*F39*Inputs!$G$7</f>
        <v>0</v>
      </c>
      <c r="Z39">
        <f>Inputs!$I$8*G39*Inputs!$G$8</f>
        <v>0.76006970051755651</v>
      </c>
      <c r="AA39">
        <f>Inputs!$I$9*H39*Inputs!$G$9</f>
        <v>0.16590779367943137</v>
      </c>
      <c r="AB39">
        <f t="shared" si="8"/>
        <v>1.8675405030874952</v>
      </c>
      <c r="AD39">
        <f>Inputs!$I$2*ABS(A39-1)*Inputs!$H$2</f>
        <v>0</v>
      </c>
      <c r="AE39">
        <f>Inputs!$I$3*ABS(B39-1)*Inputs!$H$3</f>
        <v>0</v>
      </c>
      <c r="AF39">
        <f>Inputs!$I$4*ABS(C39-1)*Inputs!$H$4</f>
        <v>8.9678988679000853E-3</v>
      </c>
      <c r="AG39">
        <f>Inputs!$I$5*ABS(D39-1)*Inputs!$H$5</f>
        <v>0</v>
      </c>
      <c r="AH39">
        <f>Inputs!$I$6*ABS(E39-1)*Inputs!$H$6</f>
        <v>6.4042485034184693E-2</v>
      </c>
      <c r="AI39">
        <f>Inputs!$I$7*ABS(F39-1)*Inputs!$H$7</f>
        <v>1.49493001411365E-2</v>
      </c>
      <c r="AJ39">
        <f>Inputs!$I$8*ABS(G39-1)*Inputs!$H$8</f>
        <v>0</v>
      </c>
      <c r="AK39">
        <f>Inputs!$I$9*ABS(H39-1)*Inputs!$H$9</f>
        <v>0</v>
      </c>
      <c r="AL39">
        <f t="shared" si="3"/>
        <v>-8.7959684043221284E-2</v>
      </c>
      <c r="AN39" s="1">
        <f t="shared" si="4"/>
        <v>1.7795808190442739</v>
      </c>
      <c r="AO39">
        <f t="shared" si="9"/>
        <v>6.6709922701699608E-3</v>
      </c>
      <c r="AP39">
        <f t="shared" si="10"/>
        <v>1.8299991852601343E-4</v>
      </c>
      <c r="AQ39" s="26">
        <f t="shared" si="6"/>
        <v>1.0038395785888916</v>
      </c>
      <c r="AR39">
        <f t="shared" si="7"/>
        <v>-3.2972842034454568E-4</v>
      </c>
    </row>
    <row r="40" spans="1:44" x14ac:dyDescent="0.25">
      <c r="A40">
        <v>1</v>
      </c>
      <c r="B40">
        <v>1</v>
      </c>
      <c r="C40">
        <v>0</v>
      </c>
      <c r="D40">
        <v>0</v>
      </c>
      <c r="E40">
        <v>1</v>
      </c>
      <c r="F40">
        <v>0</v>
      </c>
      <c r="G40">
        <v>1</v>
      </c>
      <c r="H40">
        <v>1</v>
      </c>
      <c r="J40">
        <f>(A40*Inputs!$E$2+ABS((A40-1))*(1-Inputs!$E$2))</f>
        <v>0.65</v>
      </c>
      <c r="K40">
        <f>(B40*Inputs!$E$3+ABS((B40-1))*(1-Inputs!$E$3))</f>
        <v>0.65</v>
      </c>
      <c r="L40">
        <f>(C40*Inputs!$E$4+ABS((C40-1))*(1-Inputs!$E$4))</f>
        <v>0.35</v>
      </c>
      <c r="M40">
        <f>(D40*Inputs!$E$5+ABS((D40-1))*(1-Inputs!$E$5))</f>
        <v>0.35</v>
      </c>
      <c r="N40">
        <f>(E40*Inputs!$E$6+ABS((E40-1))*(1-Inputs!$E$6))</f>
        <v>0.6</v>
      </c>
      <c r="O40">
        <f>(F40*Inputs!$E$7+ABS((F40-1))*(1-Inputs!$E$7))</f>
        <v>0.25</v>
      </c>
      <c r="P40">
        <f>(G40*Inputs!$E$8+ABS((G40-1))*(1-Inputs!$E$8))</f>
        <v>0.6</v>
      </c>
      <c r="Q40">
        <f>(H40*Inputs!$E$9+ABS((H40-1))*(1-Inputs!$E$9))</f>
        <v>0.65</v>
      </c>
      <c r="R40">
        <f t="shared" si="2"/>
        <v>3.0277406250000002E-3</v>
      </c>
      <c r="T40">
        <f>Inputs!$I$2*A40*Inputs!$G$2</f>
        <v>0.52958847736625514</v>
      </c>
      <c r="U40">
        <f>Inputs!$I$3*B40*Inputs!$G$3</f>
        <v>0.20645773829738062</v>
      </c>
      <c r="V40">
        <f>Inputs!$I$4*C40*Inputs!$G$4</f>
        <v>0</v>
      </c>
      <c r="W40">
        <f>Inputs!$I$5*D40*Inputs!$G$5</f>
        <v>0</v>
      </c>
      <c r="X40">
        <f>Inputs!$I$6*E40*Inputs!$G$6</f>
        <v>0.37656981200100598</v>
      </c>
      <c r="Y40">
        <f>Inputs!$I$7*F40*Inputs!$G$7</f>
        <v>0</v>
      </c>
      <c r="Z40">
        <f>Inputs!$I$8*G40*Inputs!$G$8</f>
        <v>0.76006970051755651</v>
      </c>
      <c r="AA40">
        <f>Inputs!$I$9*H40*Inputs!$G$9</f>
        <v>0.16590779367943137</v>
      </c>
      <c r="AB40">
        <f t="shared" si="8"/>
        <v>2.0385935218616296</v>
      </c>
      <c r="AD40">
        <f>Inputs!$I$2*ABS(A40-1)*Inputs!$H$2</f>
        <v>0</v>
      </c>
      <c r="AE40">
        <f>Inputs!$I$3*ABS(B40-1)*Inputs!$H$3</f>
        <v>0</v>
      </c>
      <c r="AF40">
        <f>Inputs!$I$4*ABS(C40-1)*Inputs!$H$4</f>
        <v>8.9678988679000853E-3</v>
      </c>
      <c r="AG40">
        <f>Inputs!$I$5*ABS(D40-1)*Inputs!$H$5</f>
        <v>3.0032539984442563E-2</v>
      </c>
      <c r="AH40">
        <f>Inputs!$I$6*ABS(E40-1)*Inputs!$H$6</f>
        <v>0</v>
      </c>
      <c r="AI40">
        <f>Inputs!$I$7*ABS(F40-1)*Inputs!$H$7</f>
        <v>1.49493001411365E-2</v>
      </c>
      <c r="AJ40">
        <f>Inputs!$I$8*ABS(G40-1)*Inputs!$H$8</f>
        <v>0</v>
      </c>
      <c r="AK40">
        <f>Inputs!$I$9*ABS(H40-1)*Inputs!$H$9</f>
        <v>0</v>
      </c>
      <c r="AL40">
        <f t="shared" si="3"/>
        <v>-5.3949738993479143E-2</v>
      </c>
      <c r="AN40" s="1">
        <f t="shared" si="4"/>
        <v>1.9846437828681505</v>
      </c>
      <c r="AO40">
        <f t="shared" si="9"/>
        <v>6.0089866075435788E-3</v>
      </c>
      <c r="AP40">
        <f t="shared" si="10"/>
        <v>5.4948924507955009E-4</v>
      </c>
      <c r="AQ40" s="26">
        <f t="shared" si="6"/>
        <v>1.0033162617108953</v>
      </c>
      <c r="AR40">
        <f t="shared" si="7"/>
        <v>-1.6334581645870342E-4</v>
      </c>
    </row>
    <row r="41" spans="1:44" x14ac:dyDescent="0.25">
      <c r="A41">
        <v>1</v>
      </c>
      <c r="B41">
        <v>1</v>
      </c>
      <c r="C41">
        <v>0</v>
      </c>
      <c r="D41">
        <v>0</v>
      </c>
      <c r="E41">
        <v>0</v>
      </c>
      <c r="F41">
        <v>0</v>
      </c>
      <c r="G41">
        <v>1</v>
      </c>
      <c r="H41">
        <v>1</v>
      </c>
      <c r="J41">
        <f>(A41*Inputs!$E$2+ABS((A41-1))*(1-Inputs!$E$2))</f>
        <v>0.65</v>
      </c>
      <c r="K41">
        <f>(B41*Inputs!$E$3+ABS((B41-1))*(1-Inputs!$E$3))</f>
        <v>0.65</v>
      </c>
      <c r="L41">
        <f>(C41*Inputs!$E$4+ABS((C41-1))*(1-Inputs!$E$4))</f>
        <v>0.35</v>
      </c>
      <c r="M41">
        <f>(D41*Inputs!$E$5+ABS((D41-1))*(1-Inputs!$E$5))</f>
        <v>0.35</v>
      </c>
      <c r="N41">
        <f>(E41*Inputs!$E$6+ABS((E41-1))*(1-Inputs!$E$6))</f>
        <v>0.4</v>
      </c>
      <c r="O41">
        <f>(F41*Inputs!$E$7+ABS((F41-1))*(1-Inputs!$E$7))</f>
        <v>0.25</v>
      </c>
      <c r="P41">
        <f>(G41*Inputs!$E$8+ABS((G41-1))*(1-Inputs!$E$8))</f>
        <v>0.6</v>
      </c>
      <c r="Q41">
        <f>(H41*Inputs!$E$9+ABS((H41-1))*(1-Inputs!$E$9))</f>
        <v>0.65</v>
      </c>
      <c r="R41">
        <f t="shared" si="2"/>
        <v>2.0184937499999997E-3</v>
      </c>
      <c r="T41">
        <f>Inputs!$I$2*A41*Inputs!$G$2</f>
        <v>0.52958847736625514</v>
      </c>
      <c r="U41">
        <f>Inputs!$I$3*B41*Inputs!$G$3</f>
        <v>0.20645773829738062</v>
      </c>
      <c r="V41">
        <f>Inputs!$I$4*C41*Inputs!$G$4</f>
        <v>0</v>
      </c>
      <c r="W41">
        <f>Inputs!$I$5*D41*Inputs!$G$5</f>
        <v>0</v>
      </c>
      <c r="X41">
        <f>Inputs!$I$6*E41*Inputs!$G$6</f>
        <v>0</v>
      </c>
      <c r="Y41">
        <f>Inputs!$I$7*F41*Inputs!$G$7</f>
        <v>0</v>
      </c>
      <c r="Z41">
        <f>Inputs!$I$8*G41*Inputs!$G$8</f>
        <v>0.76006970051755651</v>
      </c>
      <c r="AA41">
        <f>Inputs!$I$9*H41*Inputs!$G$9</f>
        <v>0.16590779367943137</v>
      </c>
      <c r="AB41">
        <f t="shared" si="8"/>
        <v>1.6620237098606236</v>
      </c>
      <c r="AD41">
        <f>Inputs!$I$2*ABS(A41-1)*Inputs!$H$2</f>
        <v>0</v>
      </c>
      <c r="AE41">
        <f>Inputs!$I$3*ABS(B41-1)*Inputs!$H$3</f>
        <v>0</v>
      </c>
      <c r="AF41">
        <f>Inputs!$I$4*ABS(C41-1)*Inputs!$H$4</f>
        <v>8.9678988679000853E-3</v>
      </c>
      <c r="AG41">
        <f>Inputs!$I$5*ABS(D41-1)*Inputs!$H$5</f>
        <v>3.0032539984442563E-2</v>
      </c>
      <c r="AH41">
        <f>Inputs!$I$6*ABS(E41-1)*Inputs!$H$6</f>
        <v>6.4042485034184693E-2</v>
      </c>
      <c r="AI41">
        <f>Inputs!$I$7*ABS(F41-1)*Inputs!$H$7</f>
        <v>1.49493001411365E-2</v>
      </c>
      <c r="AJ41">
        <f>Inputs!$I$8*ABS(G41-1)*Inputs!$H$8</f>
        <v>0</v>
      </c>
      <c r="AK41">
        <f>Inputs!$I$9*ABS(H41-1)*Inputs!$H$9</f>
        <v>0</v>
      </c>
      <c r="AL41">
        <f t="shared" si="3"/>
        <v>-0.11799222402766384</v>
      </c>
      <c r="AN41" s="1">
        <f t="shared" si="4"/>
        <v>1.5440314858329598</v>
      </c>
      <c r="AO41">
        <f t="shared" si="9"/>
        <v>3.1166179039570424E-3</v>
      </c>
      <c r="AP41">
        <f t="shared" si="10"/>
        <v>4.3037031567988618E-7</v>
      </c>
      <c r="AQ41" s="26">
        <f t="shared" si="6"/>
        <v>1.0018865458760096</v>
      </c>
      <c r="AR41">
        <f t="shared" si="7"/>
        <v>-2.3816656674843925E-4</v>
      </c>
    </row>
    <row r="42" spans="1:44" x14ac:dyDescent="0.25">
      <c r="A42">
        <v>1</v>
      </c>
      <c r="B42">
        <v>0</v>
      </c>
      <c r="C42">
        <v>1</v>
      </c>
      <c r="D42">
        <v>1</v>
      </c>
      <c r="E42">
        <v>1</v>
      </c>
      <c r="F42">
        <v>0</v>
      </c>
      <c r="G42">
        <v>1</v>
      </c>
      <c r="H42">
        <v>1</v>
      </c>
      <c r="J42">
        <f>(A42*Inputs!$E$2+ABS((A42-1))*(1-Inputs!$E$2))</f>
        <v>0.65</v>
      </c>
      <c r="K42">
        <f>(B42*Inputs!$E$3+ABS((B42-1))*(1-Inputs!$E$3))</f>
        <v>0.35</v>
      </c>
      <c r="L42">
        <f>(C42*Inputs!$E$4+ABS((C42-1))*(1-Inputs!$E$4))</f>
        <v>0.65</v>
      </c>
      <c r="M42">
        <f>(D42*Inputs!$E$5+ABS((D42-1))*(1-Inputs!$E$5))</f>
        <v>0.65</v>
      </c>
      <c r="N42">
        <f>(E42*Inputs!$E$6+ABS((E42-1))*(1-Inputs!$E$6))</f>
        <v>0.6</v>
      </c>
      <c r="O42">
        <f>(F42*Inputs!$E$7+ABS((F42-1))*(1-Inputs!$E$7))</f>
        <v>0.25</v>
      </c>
      <c r="P42">
        <f>(G42*Inputs!$E$8+ABS((G42-1))*(1-Inputs!$E$8))</f>
        <v>0.6</v>
      </c>
      <c r="Q42">
        <f>(H42*Inputs!$E$9+ABS((H42-1))*(1-Inputs!$E$9))</f>
        <v>0.65</v>
      </c>
      <c r="R42">
        <f t="shared" si="2"/>
        <v>5.6229468749999997E-3</v>
      </c>
      <c r="T42">
        <f>Inputs!$I$2*A42*Inputs!$G$2</f>
        <v>0.52958847736625514</v>
      </c>
      <c r="U42">
        <f>Inputs!$I$3*B42*Inputs!$G$3</f>
        <v>0</v>
      </c>
      <c r="V42">
        <f>Inputs!$I$4*C42*Inputs!$G$4</f>
        <v>0.1422264291528948</v>
      </c>
      <c r="W42">
        <f>Inputs!$I$5*D42*Inputs!$G$5</f>
        <v>0.20551679322687164</v>
      </c>
      <c r="X42">
        <f>Inputs!$I$6*E42*Inputs!$G$6</f>
        <v>0.37656981200100598</v>
      </c>
      <c r="Y42">
        <f>Inputs!$I$7*F42*Inputs!$G$7</f>
        <v>0</v>
      </c>
      <c r="Z42">
        <f>Inputs!$I$8*G42*Inputs!$G$8</f>
        <v>0.76006970051755651</v>
      </c>
      <c r="AA42">
        <f>Inputs!$I$9*H42*Inputs!$G$9</f>
        <v>0.16590779367943137</v>
      </c>
      <c r="AB42">
        <f t="shared" si="8"/>
        <v>2.1798790059440156</v>
      </c>
      <c r="AD42">
        <f>Inputs!$I$2*ABS(A42-1)*Inputs!$H$2</f>
        <v>0</v>
      </c>
      <c r="AE42">
        <f>Inputs!$I$3*ABS(B42-1)*Inputs!$H$3</f>
        <v>1.1405796839520112E-2</v>
      </c>
      <c r="AF42">
        <f>Inputs!$I$4*ABS(C42-1)*Inputs!$H$4</f>
        <v>0</v>
      </c>
      <c r="AG42">
        <f>Inputs!$I$5*ABS(D42-1)*Inputs!$H$5</f>
        <v>0</v>
      </c>
      <c r="AH42">
        <f>Inputs!$I$6*ABS(E42-1)*Inputs!$H$6</f>
        <v>0</v>
      </c>
      <c r="AI42">
        <f>Inputs!$I$7*ABS(F42-1)*Inputs!$H$7</f>
        <v>1.49493001411365E-2</v>
      </c>
      <c r="AJ42">
        <f>Inputs!$I$8*ABS(G42-1)*Inputs!$H$8</f>
        <v>0</v>
      </c>
      <c r="AK42">
        <f>Inputs!$I$9*ABS(H42-1)*Inputs!$H$9</f>
        <v>0</v>
      </c>
      <c r="AL42">
        <f t="shared" si="3"/>
        <v>-2.6355096980656613E-2</v>
      </c>
      <c r="AN42" s="1">
        <f t="shared" si="4"/>
        <v>2.1535239089633591</v>
      </c>
      <c r="AO42">
        <f t="shared" si="9"/>
        <v>1.2109150534143303E-2</v>
      </c>
      <c r="AP42">
        <f t="shared" si="10"/>
        <v>1.9899317233753066E-3</v>
      </c>
      <c r="AQ42" s="26">
        <f t="shared" si="6"/>
        <v>1.006478968215246</v>
      </c>
      <c r="AR42">
        <f t="shared" si="7"/>
        <v>-1.4819331020770503E-4</v>
      </c>
    </row>
    <row r="43" spans="1:44" x14ac:dyDescent="0.25">
      <c r="A43">
        <v>1</v>
      </c>
      <c r="B43">
        <v>0</v>
      </c>
      <c r="C43">
        <v>1</v>
      </c>
      <c r="D43">
        <v>1</v>
      </c>
      <c r="E43">
        <v>0</v>
      </c>
      <c r="F43">
        <v>0</v>
      </c>
      <c r="G43">
        <v>1</v>
      </c>
      <c r="H43">
        <v>1</v>
      </c>
      <c r="J43">
        <f>(A43*Inputs!$E$2+ABS((A43-1))*(1-Inputs!$E$2))</f>
        <v>0.65</v>
      </c>
      <c r="K43">
        <f>(B43*Inputs!$E$3+ABS((B43-1))*(1-Inputs!$E$3))</f>
        <v>0.35</v>
      </c>
      <c r="L43">
        <f>(C43*Inputs!$E$4+ABS((C43-1))*(1-Inputs!$E$4))</f>
        <v>0.65</v>
      </c>
      <c r="M43">
        <f>(D43*Inputs!$E$5+ABS((D43-1))*(1-Inputs!$E$5))</f>
        <v>0.65</v>
      </c>
      <c r="N43">
        <f>(E43*Inputs!$E$6+ABS((E43-1))*(1-Inputs!$E$6))</f>
        <v>0.4</v>
      </c>
      <c r="O43">
        <f>(F43*Inputs!$E$7+ABS((F43-1))*(1-Inputs!$E$7))</f>
        <v>0.25</v>
      </c>
      <c r="P43">
        <f>(G43*Inputs!$E$8+ABS((G43-1))*(1-Inputs!$E$8))</f>
        <v>0.6</v>
      </c>
      <c r="Q43">
        <f>(H43*Inputs!$E$9+ABS((H43-1))*(1-Inputs!$E$9))</f>
        <v>0.65</v>
      </c>
      <c r="R43">
        <f t="shared" si="2"/>
        <v>3.7486312499999995E-3</v>
      </c>
      <c r="T43">
        <f>Inputs!$I$2*A43*Inputs!$G$2</f>
        <v>0.52958847736625514</v>
      </c>
      <c r="U43">
        <f>Inputs!$I$3*B43*Inputs!$G$3</f>
        <v>0</v>
      </c>
      <c r="V43">
        <f>Inputs!$I$4*C43*Inputs!$G$4</f>
        <v>0.1422264291528948</v>
      </c>
      <c r="W43">
        <f>Inputs!$I$5*D43*Inputs!$G$5</f>
        <v>0.20551679322687164</v>
      </c>
      <c r="X43">
        <f>Inputs!$I$6*E43*Inputs!$G$6</f>
        <v>0</v>
      </c>
      <c r="Y43">
        <f>Inputs!$I$7*F43*Inputs!$G$7</f>
        <v>0</v>
      </c>
      <c r="Z43">
        <f>Inputs!$I$8*G43*Inputs!$G$8</f>
        <v>0.76006970051755651</v>
      </c>
      <c r="AA43">
        <f>Inputs!$I$9*H43*Inputs!$G$9</f>
        <v>0.16590779367943137</v>
      </c>
      <c r="AB43">
        <f t="shared" si="8"/>
        <v>1.8033091939430093</v>
      </c>
      <c r="AD43">
        <f>Inputs!$I$2*ABS(A43-1)*Inputs!$H$2</f>
        <v>0</v>
      </c>
      <c r="AE43">
        <f>Inputs!$I$3*ABS(B43-1)*Inputs!$H$3</f>
        <v>1.1405796839520112E-2</v>
      </c>
      <c r="AF43">
        <f>Inputs!$I$4*ABS(C43-1)*Inputs!$H$4</f>
        <v>0</v>
      </c>
      <c r="AG43">
        <f>Inputs!$I$5*ABS(D43-1)*Inputs!$H$5</f>
        <v>0</v>
      </c>
      <c r="AH43">
        <f>Inputs!$I$6*ABS(E43-1)*Inputs!$H$6</f>
        <v>6.4042485034184693E-2</v>
      </c>
      <c r="AI43">
        <f>Inputs!$I$7*ABS(F43-1)*Inputs!$H$7</f>
        <v>1.49493001411365E-2</v>
      </c>
      <c r="AJ43">
        <f>Inputs!$I$8*ABS(G43-1)*Inputs!$H$8</f>
        <v>0</v>
      </c>
      <c r="AK43">
        <f>Inputs!$I$9*ABS(H43-1)*Inputs!$H$9</f>
        <v>0</v>
      </c>
      <c r="AL43">
        <f t="shared" si="3"/>
        <v>-9.0397582014841313E-2</v>
      </c>
      <c r="AN43" s="1">
        <f t="shared" si="4"/>
        <v>1.712911611928168</v>
      </c>
      <c r="AO43">
        <f t="shared" si="9"/>
        <v>6.4210739969618024E-3</v>
      </c>
      <c r="AP43">
        <f t="shared" si="10"/>
        <v>8.9224137421527809E-5</v>
      </c>
      <c r="AQ43" s="26">
        <f t="shared" si="6"/>
        <v>1.0037482252503755</v>
      </c>
      <c r="AR43">
        <f t="shared" si="7"/>
        <v>-3.3886720086527208E-4</v>
      </c>
    </row>
    <row r="44" spans="1:44" x14ac:dyDescent="0.25">
      <c r="A44">
        <v>1</v>
      </c>
      <c r="B44">
        <v>0</v>
      </c>
      <c r="C44">
        <v>1</v>
      </c>
      <c r="D44">
        <v>0</v>
      </c>
      <c r="E44">
        <v>1</v>
      </c>
      <c r="F44">
        <v>0</v>
      </c>
      <c r="G44">
        <v>1</v>
      </c>
      <c r="H44">
        <v>1</v>
      </c>
      <c r="J44">
        <f>(A44*Inputs!$E$2+ABS((A44-1))*(1-Inputs!$E$2))</f>
        <v>0.65</v>
      </c>
      <c r="K44">
        <f>(B44*Inputs!$E$3+ABS((B44-1))*(1-Inputs!$E$3))</f>
        <v>0.35</v>
      </c>
      <c r="L44">
        <f>(C44*Inputs!$E$4+ABS((C44-1))*(1-Inputs!$E$4))</f>
        <v>0.65</v>
      </c>
      <c r="M44">
        <f>(D44*Inputs!$E$5+ABS((D44-1))*(1-Inputs!$E$5))</f>
        <v>0.35</v>
      </c>
      <c r="N44">
        <f>(E44*Inputs!$E$6+ABS((E44-1))*(1-Inputs!$E$6))</f>
        <v>0.6</v>
      </c>
      <c r="O44">
        <f>(F44*Inputs!$E$7+ABS((F44-1))*(1-Inputs!$E$7))</f>
        <v>0.25</v>
      </c>
      <c r="P44">
        <f>(G44*Inputs!$E$8+ABS((G44-1))*(1-Inputs!$E$8))</f>
        <v>0.6</v>
      </c>
      <c r="Q44">
        <f>(H44*Inputs!$E$9+ABS((H44-1))*(1-Inputs!$E$9))</f>
        <v>0.65</v>
      </c>
      <c r="R44">
        <f t="shared" si="2"/>
        <v>3.0277406249999989E-3</v>
      </c>
      <c r="T44">
        <f>Inputs!$I$2*A44*Inputs!$G$2</f>
        <v>0.52958847736625514</v>
      </c>
      <c r="U44">
        <f>Inputs!$I$3*B44*Inputs!$G$3</f>
        <v>0</v>
      </c>
      <c r="V44">
        <f>Inputs!$I$4*C44*Inputs!$G$4</f>
        <v>0.1422264291528948</v>
      </c>
      <c r="W44">
        <f>Inputs!$I$5*D44*Inputs!$G$5</f>
        <v>0</v>
      </c>
      <c r="X44">
        <f>Inputs!$I$6*E44*Inputs!$G$6</f>
        <v>0.37656981200100598</v>
      </c>
      <c r="Y44">
        <f>Inputs!$I$7*F44*Inputs!$G$7</f>
        <v>0</v>
      </c>
      <c r="Z44">
        <f>Inputs!$I$8*G44*Inputs!$G$8</f>
        <v>0.76006970051755651</v>
      </c>
      <c r="AA44">
        <f>Inputs!$I$9*H44*Inputs!$G$9</f>
        <v>0.16590779367943137</v>
      </c>
      <c r="AB44">
        <f t="shared" si="8"/>
        <v>1.9743622127171436</v>
      </c>
      <c r="AD44">
        <f>Inputs!$I$2*ABS(A44-1)*Inputs!$H$2</f>
        <v>0</v>
      </c>
      <c r="AE44">
        <f>Inputs!$I$3*ABS(B44-1)*Inputs!$H$3</f>
        <v>1.1405796839520112E-2</v>
      </c>
      <c r="AF44">
        <f>Inputs!$I$4*ABS(C44-1)*Inputs!$H$4</f>
        <v>0</v>
      </c>
      <c r="AG44">
        <f>Inputs!$I$5*ABS(D44-1)*Inputs!$H$5</f>
        <v>3.0032539984442563E-2</v>
      </c>
      <c r="AH44">
        <f>Inputs!$I$6*ABS(E44-1)*Inputs!$H$6</f>
        <v>0</v>
      </c>
      <c r="AI44">
        <f>Inputs!$I$7*ABS(F44-1)*Inputs!$H$7</f>
        <v>1.49493001411365E-2</v>
      </c>
      <c r="AJ44">
        <f>Inputs!$I$8*ABS(G44-1)*Inputs!$H$8</f>
        <v>0</v>
      </c>
      <c r="AK44">
        <f>Inputs!$I$9*ABS(H44-1)*Inputs!$H$9</f>
        <v>0</v>
      </c>
      <c r="AL44">
        <f t="shared" si="3"/>
        <v>-5.6387636965099172E-2</v>
      </c>
      <c r="AN44" s="1">
        <f t="shared" si="4"/>
        <v>1.9179745757520446</v>
      </c>
      <c r="AO44">
        <f t="shared" si="9"/>
        <v>5.8071295407216032E-3</v>
      </c>
      <c r="AP44">
        <f t="shared" si="10"/>
        <v>3.9096045125100307E-4</v>
      </c>
      <c r="AQ44" s="26">
        <f t="shared" si="6"/>
        <v>1.0032476385501279</v>
      </c>
      <c r="AR44">
        <f t="shared" si="7"/>
        <v>-1.7072713918698241E-4</v>
      </c>
    </row>
    <row r="45" spans="1:44" x14ac:dyDescent="0.25">
      <c r="A45">
        <v>1</v>
      </c>
      <c r="B45">
        <v>0</v>
      </c>
      <c r="C45">
        <v>1</v>
      </c>
      <c r="D45">
        <v>0</v>
      </c>
      <c r="E45">
        <v>0</v>
      </c>
      <c r="F45">
        <v>0</v>
      </c>
      <c r="G45">
        <v>1</v>
      </c>
      <c r="H45">
        <v>1</v>
      </c>
      <c r="J45">
        <f>(A45*Inputs!$E$2+ABS((A45-1))*(1-Inputs!$E$2))</f>
        <v>0.65</v>
      </c>
      <c r="K45">
        <f>(B45*Inputs!$E$3+ABS((B45-1))*(1-Inputs!$E$3))</f>
        <v>0.35</v>
      </c>
      <c r="L45">
        <f>(C45*Inputs!$E$4+ABS((C45-1))*(1-Inputs!$E$4))</f>
        <v>0.65</v>
      </c>
      <c r="M45">
        <f>(D45*Inputs!$E$5+ABS((D45-1))*(1-Inputs!$E$5))</f>
        <v>0.35</v>
      </c>
      <c r="N45">
        <f>(E45*Inputs!$E$6+ABS((E45-1))*(1-Inputs!$E$6))</f>
        <v>0.4</v>
      </c>
      <c r="O45">
        <f>(F45*Inputs!$E$7+ABS((F45-1))*(1-Inputs!$E$7))</f>
        <v>0.25</v>
      </c>
      <c r="P45">
        <f>(G45*Inputs!$E$8+ABS((G45-1))*(1-Inputs!$E$8))</f>
        <v>0.6</v>
      </c>
      <c r="Q45">
        <f>(H45*Inputs!$E$9+ABS((H45-1))*(1-Inputs!$E$9))</f>
        <v>0.65</v>
      </c>
      <c r="R45">
        <f t="shared" si="2"/>
        <v>2.0184937499999997E-3</v>
      </c>
      <c r="T45">
        <f>Inputs!$I$2*A45*Inputs!$G$2</f>
        <v>0.52958847736625514</v>
      </c>
      <c r="U45">
        <f>Inputs!$I$3*B45*Inputs!$G$3</f>
        <v>0</v>
      </c>
      <c r="V45">
        <f>Inputs!$I$4*C45*Inputs!$G$4</f>
        <v>0.1422264291528948</v>
      </c>
      <c r="W45">
        <f>Inputs!$I$5*D45*Inputs!$G$5</f>
        <v>0</v>
      </c>
      <c r="X45">
        <f>Inputs!$I$6*E45*Inputs!$G$6</f>
        <v>0</v>
      </c>
      <c r="Y45">
        <f>Inputs!$I$7*F45*Inputs!$G$7</f>
        <v>0</v>
      </c>
      <c r="Z45">
        <f>Inputs!$I$8*G45*Inputs!$G$8</f>
        <v>0.76006970051755651</v>
      </c>
      <c r="AA45">
        <f>Inputs!$I$9*H45*Inputs!$G$9</f>
        <v>0.16590779367943137</v>
      </c>
      <c r="AB45">
        <f t="shared" si="8"/>
        <v>1.5977924007161377</v>
      </c>
      <c r="AD45">
        <f>Inputs!$I$2*ABS(A45-1)*Inputs!$H$2</f>
        <v>0</v>
      </c>
      <c r="AE45">
        <f>Inputs!$I$3*ABS(B45-1)*Inputs!$H$3</f>
        <v>1.1405796839520112E-2</v>
      </c>
      <c r="AF45">
        <f>Inputs!$I$4*ABS(C45-1)*Inputs!$H$4</f>
        <v>0</v>
      </c>
      <c r="AG45">
        <f>Inputs!$I$5*ABS(D45-1)*Inputs!$H$5</f>
        <v>3.0032539984442563E-2</v>
      </c>
      <c r="AH45">
        <f>Inputs!$I$6*ABS(E45-1)*Inputs!$H$6</f>
        <v>6.4042485034184693E-2</v>
      </c>
      <c r="AI45">
        <f>Inputs!$I$7*ABS(F45-1)*Inputs!$H$7</f>
        <v>1.49493001411365E-2</v>
      </c>
      <c r="AJ45">
        <f>Inputs!$I$8*ABS(G45-1)*Inputs!$H$8</f>
        <v>0</v>
      </c>
      <c r="AK45">
        <f>Inputs!$I$9*ABS(H45-1)*Inputs!$H$9</f>
        <v>0</v>
      </c>
      <c r="AL45">
        <f t="shared" si="3"/>
        <v>-0.12043012199928387</v>
      </c>
      <c r="AN45" s="1">
        <f t="shared" si="4"/>
        <v>1.4773622787168539</v>
      </c>
      <c r="AO45">
        <f t="shared" si="9"/>
        <v>2.9820465260757272E-3</v>
      </c>
      <c r="AP45">
        <f t="shared" si="10"/>
        <v>1.3332115610269305E-5</v>
      </c>
      <c r="AQ45" s="26">
        <f t="shared" si="6"/>
        <v>1.0018328438288056</v>
      </c>
      <c r="AR45">
        <f t="shared" si="7"/>
        <v>-2.4308744856729194E-4</v>
      </c>
    </row>
    <row r="46" spans="1:44" x14ac:dyDescent="0.25">
      <c r="A46">
        <v>1</v>
      </c>
      <c r="B46">
        <v>0</v>
      </c>
      <c r="C46">
        <v>0</v>
      </c>
      <c r="D46">
        <v>1</v>
      </c>
      <c r="E46">
        <v>1</v>
      </c>
      <c r="F46">
        <v>0</v>
      </c>
      <c r="G46">
        <v>1</v>
      </c>
      <c r="H46">
        <v>1</v>
      </c>
      <c r="J46">
        <f>(A46*Inputs!$E$2+ABS((A46-1))*(1-Inputs!$E$2))</f>
        <v>0.65</v>
      </c>
      <c r="K46">
        <f>(B46*Inputs!$E$3+ABS((B46-1))*(1-Inputs!$E$3))</f>
        <v>0.35</v>
      </c>
      <c r="L46">
        <f>(C46*Inputs!$E$4+ABS((C46-1))*(1-Inputs!$E$4))</f>
        <v>0.35</v>
      </c>
      <c r="M46">
        <f>(D46*Inputs!$E$5+ABS((D46-1))*(1-Inputs!$E$5))</f>
        <v>0.65</v>
      </c>
      <c r="N46">
        <f>(E46*Inputs!$E$6+ABS((E46-1))*(1-Inputs!$E$6))</f>
        <v>0.6</v>
      </c>
      <c r="O46">
        <f>(F46*Inputs!$E$7+ABS((F46-1))*(1-Inputs!$E$7))</f>
        <v>0.25</v>
      </c>
      <c r="P46">
        <f>(G46*Inputs!$E$8+ABS((G46-1))*(1-Inputs!$E$8))</f>
        <v>0.6</v>
      </c>
      <c r="Q46">
        <f>(H46*Inputs!$E$9+ABS((H46-1))*(1-Inputs!$E$9))</f>
        <v>0.65</v>
      </c>
      <c r="R46">
        <f t="shared" si="2"/>
        <v>3.0277406250000002E-3</v>
      </c>
      <c r="T46">
        <f>Inputs!$I$2*A46*Inputs!$G$2</f>
        <v>0.52958847736625514</v>
      </c>
      <c r="U46">
        <f>Inputs!$I$3*B46*Inputs!$G$3</f>
        <v>0</v>
      </c>
      <c r="V46">
        <f>Inputs!$I$4*C46*Inputs!$G$4</f>
        <v>0</v>
      </c>
      <c r="W46">
        <f>Inputs!$I$5*D46*Inputs!$G$5</f>
        <v>0.20551679322687164</v>
      </c>
      <c r="X46">
        <f>Inputs!$I$6*E46*Inputs!$G$6</f>
        <v>0.37656981200100598</v>
      </c>
      <c r="Y46">
        <f>Inputs!$I$7*F46*Inputs!$G$7</f>
        <v>0</v>
      </c>
      <c r="Z46">
        <f>Inputs!$I$8*G46*Inputs!$G$8</f>
        <v>0.76006970051755651</v>
      </c>
      <c r="AA46">
        <f>Inputs!$I$9*H46*Inputs!$G$9</f>
        <v>0.16590779367943137</v>
      </c>
      <c r="AB46">
        <f t="shared" si="8"/>
        <v>2.0376525767911207</v>
      </c>
      <c r="AD46">
        <f>Inputs!$I$2*ABS(A46-1)*Inputs!$H$2</f>
        <v>0</v>
      </c>
      <c r="AE46">
        <f>Inputs!$I$3*ABS(B46-1)*Inputs!$H$3</f>
        <v>1.1405796839520112E-2</v>
      </c>
      <c r="AF46">
        <f>Inputs!$I$4*ABS(C46-1)*Inputs!$H$4</f>
        <v>8.9678988679000853E-3</v>
      </c>
      <c r="AG46">
        <f>Inputs!$I$5*ABS(D46-1)*Inputs!$H$5</f>
        <v>0</v>
      </c>
      <c r="AH46">
        <f>Inputs!$I$6*ABS(E46-1)*Inputs!$H$6</f>
        <v>0</v>
      </c>
      <c r="AI46">
        <f>Inputs!$I$7*ABS(F46-1)*Inputs!$H$7</f>
        <v>1.49493001411365E-2</v>
      </c>
      <c r="AJ46">
        <f>Inputs!$I$8*ABS(G46-1)*Inputs!$H$8</f>
        <v>0</v>
      </c>
      <c r="AK46">
        <f>Inputs!$I$9*ABS(H46-1)*Inputs!$H$9</f>
        <v>0</v>
      </c>
      <c r="AL46">
        <f t="shared" si="3"/>
        <v>-3.5322995848556693E-2</v>
      </c>
      <c r="AN46" s="1">
        <f t="shared" si="4"/>
        <v>2.0023295809425639</v>
      </c>
      <c r="AO46">
        <f t="shared" si="9"/>
        <v>6.062534616859027E-3</v>
      </c>
      <c r="AP46">
        <f t="shared" si="10"/>
        <v>5.9606030869106526E-4</v>
      </c>
      <c r="AQ46" s="26">
        <f t="shared" si="6"/>
        <v>1.003334209419052</v>
      </c>
      <c r="AR46">
        <f t="shared" si="7"/>
        <v>-1.0694886952738146E-4</v>
      </c>
    </row>
    <row r="47" spans="1:44" x14ac:dyDescent="0.25">
      <c r="A47">
        <v>1</v>
      </c>
      <c r="B47">
        <v>0</v>
      </c>
      <c r="C47">
        <v>0</v>
      </c>
      <c r="D47">
        <v>1</v>
      </c>
      <c r="E47">
        <v>0</v>
      </c>
      <c r="F47">
        <v>0</v>
      </c>
      <c r="G47">
        <v>1</v>
      </c>
      <c r="H47">
        <v>1</v>
      </c>
      <c r="J47">
        <f>(A47*Inputs!$E$2+ABS((A47-1))*(1-Inputs!$E$2))</f>
        <v>0.65</v>
      </c>
      <c r="K47">
        <f>(B47*Inputs!$E$3+ABS((B47-1))*(1-Inputs!$E$3))</f>
        <v>0.35</v>
      </c>
      <c r="L47">
        <f>(C47*Inputs!$E$4+ABS((C47-1))*(1-Inputs!$E$4))</f>
        <v>0.35</v>
      </c>
      <c r="M47">
        <f>(D47*Inputs!$E$5+ABS((D47-1))*(1-Inputs!$E$5))</f>
        <v>0.65</v>
      </c>
      <c r="N47">
        <f>(E47*Inputs!$E$6+ABS((E47-1))*(1-Inputs!$E$6))</f>
        <v>0.4</v>
      </c>
      <c r="O47">
        <f>(F47*Inputs!$E$7+ABS((F47-1))*(1-Inputs!$E$7))</f>
        <v>0.25</v>
      </c>
      <c r="P47">
        <f>(G47*Inputs!$E$8+ABS((G47-1))*(1-Inputs!$E$8))</f>
        <v>0.6</v>
      </c>
      <c r="Q47">
        <f>(H47*Inputs!$E$9+ABS((H47-1))*(1-Inputs!$E$9))</f>
        <v>0.65</v>
      </c>
      <c r="R47">
        <f t="shared" si="2"/>
        <v>2.0184937499999997E-3</v>
      </c>
      <c r="T47">
        <f>Inputs!$I$2*A47*Inputs!$G$2</f>
        <v>0.52958847736625514</v>
      </c>
      <c r="U47">
        <f>Inputs!$I$3*B47*Inputs!$G$3</f>
        <v>0</v>
      </c>
      <c r="V47">
        <f>Inputs!$I$4*C47*Inputs!$G$4</f>
        <v>0</v>
      </c>
      <c r="W47">
        <f>Inputs!$I$5*D47*Inputs!$G$5</f>
        <v>0.20551679322687164</v>
      </c>
      <c r="X47">
        <f>Inputs!$I$6*E47*Inputs!$G$6</f>
        <v>0</v>
      </c>
      <c r="Y47">
        <f>Inputs!$I$7*F47*Inputs!$G$7</f>
        <v>0</v>
      </c>
      <c r="Z47">
        <f>Inputs!$I$8*G47*Inputs!$G$8</f>
        <v>0.76006970051755651</v>
      </c>
      <c r="AA47">
        <f>Inputs!$I$9*H47*Inputs!$G$9</f>
        <v>0.16590779367943137</v>
      </c>
      <c r="AB47">
        <f t="shared" si="8"/>
        <v>1.6610827647901147</v>
      </c>
      <c r="AD47">
        <f>Inputs!$I$2*ABS(A47-1)*Inputs!$H$2</f>
        <v>0</v>
      </c>
      <c r="AE47">
        <f>Inputs!$I$3*ABS(B47-1)*Inputs!$H$3</f>
        <v>1.1405796839520112E-2</v>
      </c>
      <c r="AF47">
        <f>Inputs!$I$4*ABS(C47-1)*Inputs!$H$4</f>
        <v>8.9678988679000853E-3</v>
      </c>
      <c r="AG47">
        <f>Inputs!$I$5*ABS(D47-1)*Inputs!$H$5</f>
        <v>0</v>
      </c>
      <c r="AH47">
        <f>Inputs!$I$6*ABS(E47-1)*Inputs!$H$6</f>
        <v>6.4042485034184693E-2</v>
      </c>
      <c r="AI47">
        <f>Inputs!$I$7*ABS(F47-1)*Inputs!$H$7</f>
        <v>1.49493001411365E-2</v>
      </c>
      <c r="AJ47">
        <f>Inputs!$I$8*ABS(G47-1)*Inputs!$H$8</f>
        <v>0</v>
      </c>
      <c r="AK47">
        <f>Inputs!$I$9*ABS(H47-1)*Inputs!$H$9</f>
        <v>0</v>
      </c>
      <c r="AL47">
        <f t="shared" si="3"/>
        <v>-9.93654808827414E-2</v>
      </c>
      <c r="AN47" s="1">
        <f t="shared" si="4"/>
        <v>1.5617172839073734</v>
      </c>
      <c r="AO47">
        <f t="shared" si="9"/>
        <v>3.1523165768340086E-3</v>
      </c>
      <c r="AP47">
        <f t="shared" si="10"/>
        <v>1.9197541834776116E-8</v>
      </c>
      <c r="AQ47" s="26">
        <f t="shared" si="6"/>
        <v>1.0019005561279026</v>
      </c>
      <c r="AR47">
        <f t="shared" si="7"/>
        <v>-2.0056860212755797E-4</v>
      </c>
    </row>
    <row r="48" spans="1:44" x14ac:dyDescent="0.25">
      <c r="A48">
        <v>1</v>
      </c>
      <c r="B48">
        <v>0</v>
      </c>
      <c r="C48">
        <v>0</v>
      </c>
      <c r="D48">
        <v>0</v>
      </c>
      <c r="E48">
        <v>1</v>
      </c>
      <c r="F48">
        <v>0</v>
      </c>
      <c r="G48">
        <v>1</v>
      </c>
      <c r="H48">
        <v>1</v>
      </c>
      <c r="J48">
        <f>(A48*Inputs!$E$2+ABS((A48-1))*(1-Inputs!$E$2))</f>
        <v>0.65</v>
      </c>
      <c r="K48">
        <f>(B48*Inputs!$E$3+ABS((B48-1))*(1-Inputs!$E$3))</f>
        <v>0.35</v>
      </c>
      <c r="L48">
        <f>(C48*Inputs!$E$4+ABS((C48-1))*(1-Inputs!$E$4))</f>
        <v>0.35</v>
      </c>
      <c r="M48">
        <f>(D48*Inputs!$E$5+ABS((D48-1))*(1-Inputs!$E$5))</f>
        <v>0.35</v>
      </c>
      <c r="N48">
        <f>(E48*Inputs!$E$6+ABS((E48-1))*(1-Inputs!$E$6))</f>
        <v>0.6</v>
      </c>
      <c r="O48">
        <f>(F48*Inputs!$E$7+ABS((F48-1))*(1-Inputs!$E$7))</f>
        <v>0.25</v>
      </c>
      <c r="P48">
        <f>(G48*Inputs!$E$8+ABS((G48-1))*(1-Inputs!$E$8))</f>
        <v>0.6</v>
      </c>
      <c r="Q48">
        <f>(H48*Inputs!$E$9+ABS((H48-1))*(1-Inputs!$E$9))</f>
        <v>0.65</v>
      </c>
      <c r="R48">
        <f t="shared" si="2"/>
        <v>1.6303218749999999E-3</v>
      </c>
      <c r="T48">
        <f>Inputs!$I$2*A48*Inputs!$G$2</f>
        <v>0.52958847736625514</v>
      </c>
      <c r="U48">
        <f>Inputs!$I$3*B48*Inputs!$G$3</f>
        <v>0</v>
      </c>
      <c r="V48">
        <f>Inputs!$I$4*C48*Inputs!$G$4</f>
        <v>0</v>
      </c>
      <c r="W48">
        <f>Inputs!$I$5*D48*Inputs!$G$5</f>
        <v>0</v>
      </c>
      <c r="X48">
        <f>Inputs!$I$6*E48*Inputs!$G$6</f>
        <v>0.37656981200100598</v>
      </c>
      <c r="Y48">
        <f>Inputs!$I$7*F48*Inputs!$G$7</f>
        <v>0</v>
      </c>
      <c r="Z48">
        <f>Inputs!$I$8*G48*Inputs!$G$8</f>
        <v>0.76006970051755651</v>
      </c>
      <c r="AA48">
        <f>Inputs!$I$9*H48*Inputs!$G$9</f>
        <v>0.16590779367943137</v>
      </c>
      <c r="AB48">
        <f t="shared" si="8"/>
        <v>1.8321357835642489</v>
      </c>
      <c r="AD48">
        <f>Inputs!$I$2*ABS(A48-1)*Inputs!$H$2</f>
        <v>0</v>
      </c>
      <c r="AE48">
        <f>Inputs!$I$3*ABS(B48-1)*Inputs!$H$3</f>
        <v>1.1405796839520112E-2</v>
      </c>
      <c r="AF48">
        <f>Inputs!$I$4*ABS(C48-1)*Inputs!$H$4</f>
        <v>8.9678988679000853E-3</v>
      </c>
      <c r="AG48">
        <f>Inputs!$I$5*ABS(D48-1)*Inputs!$H$5</f>
        <v>3.0032539984442563E-2</v>
      </c>
      <c r="AH48">
        <f>Inputs!$I$6*ABS(E48-1)*Inputs!$H$6</f>
        <v>0</v>
      </c>
      <c r="AI48">
        <f>Inputs!$I$7*ABS(F48-1)*Inputs!$H$7</f>
        <v>1.49493001411365E-2</v>
      </c>
      <c r="AJ48">
        <f>Inputs!$I$8*ABS(G48-1)*Inputs!$H$8</f>
        <v>0</v>
      </c>
      <c r="AK48">
        <f>Inputs!$I$9*ABS(H48-1)*Inputs!$H$9</f>
        <v>0</v>
      </c>
      <c r="AL48">
        <f t="shared" si="3"/>
        <v>-6.5355535832999259E-2</v>
      </c>
      <c r="AN48" s="1">
        <f t="shared" si="4"/>
        <v>1.7667802477312495</v>
      </c>
      <c r="AO48">
        <f t="shared" si="9"/>
        <v>2.8804204861941751E-3</v>
      </c>
      <c r="AP48">
        <f t="shared" si="10"/>
        <v>7.0633928357632765E-5</v>
      </c>
      <c r="AQ48" s="26">
        <f t="shared" si="6"/>
        <v>1.001660530097163</v>
      </c>
      <c r="AR48">
        <f t="shared" si="7"/>
        <v>-1.0655055972088503E-4</v>
      </c>
    </row>
    <row r="49" spans="1:44" x14ac:dyDescent="0.25">
      <c r="A49">
        <v>1</v>
      </c>
      <c r="B49">
        <v>0</v>
      </c>
      <c r="C49">
        <v>0</v>
      </c>
      <c r="D49">
        <v>0</v>
      </c>
      <c r="E49">
        <v>0</v>
      </c>
      <c r="F49">
        <v>0</v>
      </c>
      <c r="G49">
        <v>1</v>
      </c>
      <c r="H49">
        <v>1</v>
      </c>
      <c r="J49">
        <f>(A49*Inputs!$E$2+ABS((A49-1))*(1-Inputs!$E$2))</f>
        <v>0.65</v>
      </c>
      <c r="K49">
        <f>(B49*Inputs!$E$3+ABS((B49-1))*(1-Inputs!$E$3))</f>
        <v>0.35</v>
      </c>
      <c r="L49">
        <f>(C49*Inputs!$E$4+ABS((C49-1))*(1-Inputs!$E$4))</f>
        <v>0.35</v>
      </c>
      <c r="M49">
        <f>(D49*Inputs!$E$5+ABS((D49-1))*(1-Inputs!$E$5))</f>
        <v>0.35</v>
      </c>
      <c r="N49">
        <f>(E49*Inputs!$E$6+ABS((E49-1))*(1-Inputs!$E$6))</f>
        <v>0.4</v>
      </c>
      <c r="O49">
        <f>(F49*Inputs!$E$7+ABS((F49-1))*(1-Inputs!$E$7))</f>
        <v>0.25</v>
      </c>
      <c r="P49">
        <f>(G49*Inputs!$E$8+ABS((G49-1))*(1-Inputs!$E$8))</f>
        <v>0.6</v>
      </c>
      <c r="Q49">
        <f>(H49*Inputs!$E$9+ABS((H49-1))*(1-Inputs!$E$9))</f>
        <v>0.65</v>
      </c>
      <c r="R49">
        <f t="shared" si="2"/>
        <v>1.0868812499999997E-3</v>
      </c>
      <c r="T49">
        <f>Inputs!$I$2*A49*Inputs!$G$2</f>
        <v>0.52958847736625514</v>
      </c>
      <c r="U49">
        <f>Inputs!$I$3*B49*Inputs!$G$3</f>
        <v>0</v>
      </c>
      <c r="V49">
        <f>Inputs!$I$4*C49*Inputs!$G$4</f>
        <v>0</v>
      </c>
      <c r="W49">
        <f>Inputs!$I$5*D49*Inputs!$G$5</f>
        <v>0</v>
      </c>
      <c r="X49">
        <f>Inputs!$I$6*E49*Inputs!$G$6</f>
        <v>0</v>
      </c>
      <c r="Y49">
        <f>Inputs!$I$7*F49*Inputs!$G$7</f>
        <v>0</v>
      </c>
      <c r="Z49">
        <f>Inputs!$I$8*G49*Inputs!$G$8</f>
        <v>0.76006970051755651</v>
      </c>
      <c r="AA49">
        <f>Inputs!$I$9*H49*Inputs!$G$9</f>
        <v>0.16590779367943137</v>
      </c>
      <c r="AB49">
        <f t="shared" si="8"/>
        <v>1.455565971563243</v>
      </c>
      <c r="AD49">
        <f>Inputs!$I$2*ABS(A49-1)*Inputs!$H$2</f>
        <v>0</v>
      </c>
      <c r="AE49">
        <f>Inputs!$I$3*ABS(B49-1)*Inputs!$H$3</f>
        <v>1.1405796839520112E-2</v>
      </c>
      <c r="AF49">
        <f>Inputs!$I$4*ABS(C49-1)*Inputs!$H$4</f>
        <v>8.9678988679000853E-3</v>
      </c>
      <c r="AG49">
        <f>Inputs!$I$5*ABS(D49-1)*Inputs!$H$5</f>
        <v>3.0032539984442563E-2</v>
      </c>
      <c r="AH49">
        <f>Inputs!$I$6*ABS(E49-1)*Inputs!$H$6</f>
        <v>6.4042485034184693E-2</v>
      </c>
      <c r="AI49">
        <f>Inputs!$I$7*ABS(F49-1)*Inputs!$H$7</f>
        <v>1.49493001411365E-2</v>
      </c>
      <c r="AJ49">
        <f>Inputs!$I$8*ABS(G49-1)*Inputs!$H$8</f>
        <v>0</v>
      </c>
      <c r="AK49">
        <f>Inputs!$I$9*ABS(H49-1)*Inputs!$H$9</f>
        <v>0</v>
      </c>
      <c r="AL49">
        <f t="shared" si="3"/>
        <v>-0.12939802086718394</v>
      </c>
      <c r="AN49" s="1">
        <f t="shared" si="4"/>
        <v>1.3261679506960591</v>
      </c>
      <c r="AO49">
        <f t="shared" si="9"/>
        <v>1.4413870799624706E-3</v>
      </c>
      <c r="AP49">
        <f t="shared" si="10"/>
        <v>5.873522417310266E-5</v>
      </c>
      <c r="AQ49" s="26">
        <f t="shared" si="6"/>
        <v>1.0009179904378172</v>
      </c>
      <c r="AR49">
        <f t="shared" si="7"/>
        <v>-1.4064028266765093E-4</v>
      </c>
    </row>
    <row r="50" spans="1:44" x14ac:dyDescent="0.25">
      <c r="A50">
        <v>0</v>
      </c>
      <c r="B50">
        <v>1</v>
      </c>
      <c r="C50">
        <v>1</v>
      </c>
      <c r="D50">
        <v>1</v>
      </c>
      <c r="E50">
        <v>1</v>
      </c>
      <c r="F50">
        <v>0</v>
      </c>
      <c r="G50">
        <v>1</v>
      </c>
      <c r="H50">
        <v>1</v>
      </c>
      <c r="J50">
        <f>(A50*Inputs!$E$2+ABS((A50-1))*(1-Inputs!$E$2))</f>
        <v>0.35</v>
      </c>
      <c r="K50">
        <f>(B50*Inputs!$E$3+ABS((B50-1))*(1-Inputs!$E$3))</f>
        <v>0.65</v>
      </c>
      <c r="L50">
        <f>(C50*Inputs!$E$4+ABS((C50-1))*(1-Inputs!$E$4))</f>
        <v>0.65</v>
      </c>
      <c r="M50">
        <f>(D50*Inputs!$E$5+ABS((D50-1))*(1-Inputs!$E$5))</f>
        <v>0.65</v>
      </c>
      <c r="N50">
        <f>(E50*Inputs!$E$6+ABS((E50-1))*(1-Inputs!$E$6))</f>
        <v>0.6</v>
      </c>
      <c r="O50">
        <f>(F50*Inputs!$E$7+ABS((F50-1))*(1-Inputs!$E$7))</f>
        <v>0.25</v>
      </c>
      <c r="P50">
        <f>(G50*Inputs!$E$8+ABS((G50-1))*(1-Inputs!$E$8))</f>
        <v>0.6</v>
      </c>
      <c r="Q50">
        <f>(H50*Inputs!$E$9+ABS((H50-1))*(1-Inputs!$E$9))</f>
        <v>0.65</v>
      </c>
      <c r="R50">
        <f t="shared" si="2"/>
        <v>5.6229468749999997E-3</v>
      </c>
      <c r="T50">
        <f>Inputs!$I$2*A50*Inputs!$G$2</f>
        <v>0</v>
      </c>
      <c r="U50">
        <f>Inputs!$I$3*B50*Inputs!$G$3</f>
        <v>0.20645773829738062</v>
      </c>
      <c r="V50">
        <f>Inputs!$I$4*C50*Inputs!$G$4</f>
        <v>0.1422264291528948</v>
      </c>
      <c r="W50">
        <f>Inputs!$I$5*D50*Inputs!$G$5</f>
        <v>0.20551679322687164</v>
      </c>
      <c r="X50">
        <f>Inputs!$I$6*E50*Inputs!$G$6</f>
        <v>0.37656981200100598</v>
      </c>
      <c r="Y50">
        <f>Inputs!$I$7*F50*Inputs!$G$7</f>
        <v>0</v>
      </c>
      <c r="Z50">
        <f>Inputs!$I$8*G50*Inputs!$G$8</f>
        <v>0.76006970051755651</v>
      </c>
      <c r="AA50">
        <f>Inputs!$I$9*H50*Inputs!$G$9</f>
        <v>0.16590779367943137</v>
      </c>
      <c r="AB50">
        <f t="shared" si="8"/>
        <v>1.8567482668751409</v>
      </c>
      <c r="AD50">
        <f>Inputs!$I$2*ABS(A50-1)*Inputs!$H$2</f>
        <v>3.0082304526748989E-2</v>
      </c>
      <c r="AE50">
        <f>Inputs!$I$3*ABS(B50-1)*Inputs!$H$3</f>
        <v>0</v>
      </c>
      <c r="AF50">
        <f>Inputs!$I$4*ABS(C50-1)*Inputs!$H$4</f>
        <v>0</v>
      </c>
      <c r="AG50">
        <f>Inputs!$I$5*ABS(D50-1)*Inputs!$H$5</f>
        <v>0</v>
      </c>
      <c r="AH50">
        <f>Inputs!$I$6*ABS(E50-1)*Inputs!$H$6</f>
        <v>0</v>
      </c>
      <c r="AI50">
        <f>Inputs!$I$7*ABS(F50-1)*Inputs!$H$7</f>
        <v>1.49493001411365E-2</v>
      </c>
      <c r="AJ50">
        <f>Inputs!$I$8*ABS(G50-1)*Inputs!$H$8</f>
        <v>0</v>
      </c>
      <c r="AK50">
        <f>Inputs!$I$9*ABS(H50-1)*Inputs!$H$9</f>
        <v>0</v>
      </c>
      <c r="AL50">
        <f t="shared" si="3"/>
        <v>-4.5031604667885486E-2</v>
      </c>
      <c r="AN50" s="1">
        <f t="shared" si="4"/>
        <v>1.8117166622072554</v>
      </c>
      <c r="AO50">
        <f t="shared" si="9"/>
        <v>1.0187186544143717E-2</v>
      </c>
      <c r="AP50">
        <f t="shared" si="10"/>
        <v>3.6015636811738996E-4</v>
      </c>
      <c r="AQ50" s="26">
        <f t="shared" si="6"/>
        <v>1.0058299036651062</v>
      </c>
      <c r="AR50">
        <f t="shared" si="7"/>
        <v>-2.532103207435221E-4</v>
      </c>
    </row>
    <row r="51" spans="1:44" x14ac:dyDescent="0.25">
      <c r="A51">
        <v>0</v>
      </c>
      <c r="B51">
        <v>1</v>
      </c>
      <c r="C51">
        <v>1</v>
      </c>
      <c r="D51">
        <v>1</v>
      </c>
      <c r="E51">
        <v>0</v>
      </c>
      <c r="F51">
        <v>0</v>
      </c>
      <c r="G51">
        <v>1</v>
      </c>
      <c r="H51">
        <v>1</v>
      </c>
      <c r="J51">
        <f>(A51*Inputs!$E$2+ABS((A51-1))*(1-Inputs!$E$2))</f>
        <v>0.35</v>
      </c>
      <c r="K51">
        <f>(B51*Inputs!$E$3+ABS((B51-1))*(1-Inputs!$E$3))</f>
        <v>0.65</v>
      </c>
      <c r="L51">
        <f>(C51*Inputs!$E$4+ABS((C51-1))*(1-Inputs!$E$4))</f>
        <v>0.65</v>
      </c>
      <c r="M51">
        <f>(D51*Inputs!$E$5+ABS((D51-1))*(1-Inputs!$E$5))</f>
        <v>0.65</v>
      </c>
      <c r="N51">
        <f>(E51*Inputs!$E$6+ABS((E51-1))*(1-Inputs!$E$6))</f>
        <v>0.4</v>
      </c>
      <c r="O51">
        <f>(F51*Inputs!$E$7+ABS((F51-1))*(1-Inputs!$E$7))</f>
        <v>0.25</v>
      </c>
      <c r="P51">
        <f>(G51*Inputs!$E$8+ABS((G51-1))*(1-Inputs!$E$8))</f>
        <v>0.6</v>
      </c>
      <c r="Q51">
        <f>(H51*Inputs!$E$9+ABS((H51-1))*(1-Inputs!$E$9))</f>
        <v>0.65</v>
      </c>
      <c r="R51">
        <f t="shared" si="2"/>
        <v>3.7486312499999995E-3</v>
      </c>
      <c r="T51">
        <f>Inputs!$I$2*A51*Inputs!$G$2</f>
        <v>0</v>
      </c>
      <c r="U51">
        <f>Inputs!$I$3*B51*Inputs!$G$3</f>
        <v>0.20645773829738062</v>
      </c>
      <c r="V51">
        <f>Inputs!$I$4*C51*Inputs!$G$4</f>
        <v>0.1422264291528948</v>
      </c>
      <c r="W51">
        <f>Inputs!$I$5*D51*Inputs!$G$5</f>
        <v>0.20551679322687164</v>
      </c>
      <c r="X51">
        <f>Inputs!$I$6*E51*Inputs!$G$6</f>
        <v>0</v>
      </c>
      <c r="Y51">
        <f>Inputs!$I$7*F51*Inputs!$G$7</f>
        <v>0</v>
      </c>
      <c r="Z51">
        <f>Inputs!$I$8*G51*Inputs!$G$8</f>
        <v>0.76006970051755651</v>
      </c>
      <c r="AA51">
        <f>Inputs!$I$9*H51*Inputs!$G$9</f>
        <v>0.16590779367943137</v>
      </c>
      <c r="AB51">
        <f t="shared" si="8"/>
        <v>1.4801784548741348</v>
      </c>
      <c r="AD51">
        <f>Inputs!$I$2*ABS(A51-1)*Inputs!$H$2</f>
        <v>3.0082304526748989E-2</v>
      </c>
      <c r="AE51">
        <f>Inputs!$I$3*ABS(B51-1)*Inputs!$H$3</f>
        <v>0</v>
      </c>
      <c r="AF51">
        <f>Inputs!$I$4*ABS(C51-1)*Inputs!$H$4</f>
        <v>0</v>
      </c>
      <c r="AG51">
        <f>Inputs!$I$5*ABS(D51-1)*Inputs!$H$5</f>
        <v>0</v>
      </c>
      <c r="AH51">
        <f>Inputs!$I$6*ABS(E51-1)*Inputs!$H$6</f>
        <v>6.4042485034184693E-2</v>
      </c>
      <c r="AI51">
        <f>Inputs!$I$7*ABS(F51-1)*Inputs!$H$7</f>
        <v>1.49493001411365E-2</v>
      </c>
      <c r="AJ51">
        <f>Inputs!$I$8*ABS(G51-1)*Inputs!$H$8</f>
        <v>0</v>
      </c>
      <c r="AK51">
        <f>Inputs!$I$9*ABS(H51-1)*Inputs!$H$9</f>
        <v>0</v>
      </c>
      <c r="AL51">
        <f t="shared" si="3"/>
        <v>-0.10907408970207018</v>
      </c>
      <c r="AN51" s="1">
        <f t="shared" si="4"/>
        <v>1.3711043651720647</v>
      </c>
      <c r="AO51">
        <f t="shared" si="9"/>
        <v>5.1397646702954127E-3</v>
      </c>
      <c r="AP51">
        <f t="shared" si="10"/>
        <v>1.3182852518643515E-4</v>
      </c>
      <c r="AQ51" s="26">
        <f t="shared" si="6"/>
        <v>1.0032416454251403</v>
      </c>
      <c r="AR51">
        <f t="shared" si="7"/>
        <v>-4.0887854122248339E-4</v>
      </c>
    </row>
    <row r="52" spans="1:44" x14ac:dyDescent="0.25">
      <c r="A52">
        <v>0</v>
      </c>
      <c r="B52">
        <v>1</v>
      </c>
      <c r="C52">
        <v>1</v>
      </c>
      <c r="D52">
        <v>0</v>
      </c>
      <c r="E52">
        <v>1</v>
      </c>
      <c r="F52">
        <v>0</v>
      </c>
      <c r="G52">
        <v>1</v>
      </c>
      <c r="H52">
        <v>1</v>
      </c>
      <c r="J52">
        <f>(A52*Inputs!$E$2+ABS((A52-1))*(1-Inputs!$E$2))</f>
        <v>0.35</v>
      </c>
      <c r="K52">
        <f>(B52*Inputs!$E$3+ABS((B52-1))*(1-Inputs!$E$3))</f>
        <v>0.65</v>
      </c>
      <c r="L52">
        <f>(C52*Inputs!$E$4+ABS((C52-1))*(1-Inputs!$E$4))</f>
        <v>0.65</v>
      </c>
      <c r="M52">
        <f>(D52*Inputs!$E$5+ABS((D52-1))*(1-Inputs!$E$5))</f>
        <v>0.35</v>
      </c>
      <c r="N52">
        <f>(E52*Inputs!$E$6+ABS((E52-1))*(1-Inputs!$E$6))</f>
        <v>0.6</v>
      </c>
      <c r="O52">
        <f>(F52*Inputs!$E$7+ABS((F52-1))*(1-Inputs!$E$7))</f>
        <v>0.25</v>
      </c>
      <c r="P52">
        <f>(G52*Inputs!$E$8+ABS((G52-1))*(1-Inputs!$E$8))</f>
        <v>0.6</v>
      </c>
      <c r="Q52">
        <f>(H52*Inputs!$E$9+ABS((H52-1))*(1-Inputs!$E$9))</f>
        <v>0.65</v>
      </c>
      <c r="R52">
        <f t="shared" si="2"/>
        <v>3.0277406249999989E-3</v>
      </c>
      <c r="T52">
        <f>Inputs!$I$2*A52*Inputs!$G$2</f>
        <v>0</v>
      </c>
      <c r="U52">
        <f>Inputs!$I$3*B52*Inputs!$G$3</f>
        <v>0.20645773829738062</v>
      </c>
      <c r="V52">
        <f>Inputs!$I$4*C52*Inputs!$G$4</f>
        <v>0.1422264291528948</v>
      </c>
      <c r="W52">
        <f>Inputs!$I$5*D52*Inputs!$G$5</f>
        <v>0</v>
      </c>
      <c r="X52">
        <f>Inputs!$I$6*E52*Inputs!$G$6</f>
        <v>0.37656981200100598</v>
      </c>
      <c r="Y52">
        <f>Inputs!$I$7*F52*Inputs!$G$7</f>
        <v>0</v>
      </c>
      <c r="Z52">
        <f>Inputs!$I$8*G52*Inputs!$G$8</f>
        <v>0.76006970051755651</v>
      </c>
      <c r="AA52">
        <f>Inputs!$I$9*H52*Inputs!$G$9</f>
        <v>0.16590779367943137</v>
      </c>
      <c r="AB52">
        <f t="shared" si="8"/>
        <v>1.6512314736482692</v>
      </c>
      <c r="AD52">
        <f>Inputs!$I$2*ABS(A52-1)*Inputs!$H$2</f>
        <v>3.0082304526748989E-2</v>
      </c>
      <c r="AE52">
        <f>Inputs!$I$3*ABS(B52-1)*Inputs!$H$3</f>
        <v>0</v>
      </c>
      <c r="AF52">
        <f>Inputs!$I$4*ABS(C52-1)*Inputs!$H$4</f>
        <v>0</v>
      </c>
      <c r="AG52">
        <f>Inputs!$I$5*ABS(D52-1)*Inputs!$H$5</f>
        <v>3.0032539984442563E-2</v>
      </c>
      <c r="AH52">
        <f>Inputs!$I$6*ABS(E52-1)*Inputs!$H$6</f>
        <v>0</v>
      </c>
      <c r="AI52">
        <f>Inputs!$I$7*ABS(F52-1)*Inputs!$H$7</f>
        <v>1.49493001411365E-2</v>
      </c>
      <c r="AJ52">
        <f>Inputs!$I$8*ABS(G52-1)*Inputs!$H$8</f>
        <v>0</v>
      </c>
      <c r="AK52">
        <f>Inputs!$I$9*ABS(H52-1)*Inputs!$H$9</f>
        <v>0</v>
      </c>
      <c r="AL52">
        <f t="shared" si="3"/>
        <v>-7.5064144652328052E-2</v>
      </c>
      <c r="AN52" s="1">
        <f t="shared" si="4"/>
        <v>1.576167328995941</v>
      </c>
      <c r="AO52">
        <f t="shared" si="9"/>
        <v>4.7722258537987493E-3</v>
      </c>
      <c r="AP52">
        <f t="shared" si="10"/>
        <v>9.3085289734398969E-7</v>
      </c>
      <c r="AQ52" s="26">
        <f t="shared" si="6"/>
        <v>1.0028692678110616</v>
      </c>
      <c r="AR52">
        <f t="shared" si="7"/>
        <v>-2.2727476024473006E-4</v>
      </c>
    </row>
    <row r="53" spans="1:44" x14ac:dyDescent="0.25">
      <c r="A53">
        <v>0</v>
      </c>
      <c r="B53">
        <v>1</v>
      </c>
      <c r="C53">
        <v>1</v>
      </c>
      <c r="D53">
        <v>0</v>
      </c>
      <c r="E53">
        <v>0</v>
      </c>
      <c r="F53">
        <v>0</v>
      </c>
      <c r="G53">
        <v>1</v>
      </c>
      <c r="H53">
        <v>1</v>
      </c>
      <c r="J53">
        <f>(A53*Inputs!$E$2+ABS((A53-1))*(1-Inputs!$E$2))</f>
        <v>0.35</v>
      </c>
      <c r="K53">
        <f>(B53*Inputs!$E$3+ABS((B53-1))*(1-Inputs!$E$3))</f>
        <v>0.65</v>
      </c>
      <c r="L53">
        <f>(C53*Inputs!$E$4+ABS((C53-1))*(1-Inputs!$E$4))</f>
        <v>0.65</v>
      </c>
      <c r="M53">
        <f>(D53*Inputs!$E$5+ABS((D53-1))*(1-Inputs!$E$5))</f>
        <v>0.35</v>
      </c>
      <c r="N53">
        <f>(E53*Inputs!$E$6+ABS((E53-1))*(1-Inputs!$E$6))</f>
        <v>0.4</v>
      </c>
      <c r="O53">
        <f>(F53*Inputs!$E$7+ABS((F53-1))*(1-Inputs!$E$7))</f>
        <v>0.25</v>
      </c>
      <c r="P53">
        <f>(G53*Inputs!$E$8+ABS((G53-1))*(1-Inputs!$E$8))</f>
        <v>0.6</v>
      </c>
      <c r="Q53">
        <f>(H53*Inputs!$E$9+ABS((H53-1))*(1-Inputs!$E$9))</f>
        <v>0.65</v>
      </c>
      <c r="R53">
        <f t="shared" si="2"/>
        <v>2.0184937499999997E-3</v>
      </c>
      <c r="T53">
        <f>Inputs!$I$2*A53*Inputs!$G$2</f>
        <v>0</v>
      </c>
      <c r="U53">
        <f>Inputs!$I$3*B53*Inputs!$G$3</f>
        <v>0.20645773829738062</v>
      </c>
      <c r="V53">
        <f>Inputs!$I$4*C53*Inputs!$G$4</f>
        <v>0.1422264291528948</v>
      </c>
      <c r="W53">
        <f>Inputs!$I$5*D53*Inputs!$G$5</f>
        <v>0</v>
      </c>
      <c r="X53">
        <f>Inputs!$I$6*E53*Inputs!$G$6</f>
        <v>0</v>
      </c>
      <c r="Y53">
        <f>Inputs!$I$7*F53*Inputs!$G$7</f>
        <v>0</v>
      </c>
      <c r="Z53">
        <f>Inputs!$I$8*G53*Inputs!$G$8</f>
        <v>0.76006970051755651</v>
      </c>
      <c r="AA53">
        <f>Inputs!$I$9*H53*Inputs!$G$9</f>
        <v>0.16590779367943137</v>
      </c>
      <c r="AB53">
        <f t="shared" si="8"/>
        <v>1.2746616616472632</v>
      </c>
      <c r="AD53">
        <f>Inputs!$I$2*ABS(A53-1)*Inputs!$H$2</f>
        <v>3.0082304526748989E-2</v>
      </c>
      <c r="AE53">
        <f>Inputs!$I$3*ABS(B53-1)*Inputs!$H$3</f>
        <v>0</v>
      </c>
      <c r="AF53">
        <f>Inputs!$I$4*ABS(C53-1)*Inputs!$H$4</f>
        <v>0</v>
      </c>
      <c r="AG53">
        <f>Inputs!$I$5*ABS(D53-1)*Inputs!$H$5</f>
        <v>3.0032539984442563E-2</v>
      </c>
      <c r="AH53">
        <f>Inputs!$I$6*ABS(E53-1)*Inputs!$H$6</f>
        <v>6.4042485034184693E-2</v>
      </c>
      <c r="AI53">
        <f>Inputs!$I$7*ABS(F53-1)*Inputs!$H$7</f>
        <v>1.49493001411365E-2</v>
      </c>
      <c r="AJ53">
        <f>Inputs!$I$8*ABS(G53-1)*Inputs!$H$8</f>
        <v>0</v>
      </c>
      <c r="AK53">
        <f>Inputs!$I$9*ABS(H53-1)*Inputs!$H$9</f>
        <v>0</v>
      </c>
      <c r="AL53">
        <f t="shared" si="3"/>
        <v>-0.13910662968651274</v>
      </c>
      <c r="AN53" s="1">
        <f t="shared" si="4"/>
        <v>1.1355550319607506</v>
      </c>
      <c r="AO53">
        <f t="shared" si="9"/>
        <v>2.2921107347938252E-3</v>
      </c>
      <c r="AP53">
        <f t="shared" si="10"/>
        <v>3.6130077098151816E-4</v>
      </c>
      <c r="AQ53" s="26">
        <f t="shared" si="6"/>
        <v>1.0015326581835997</v>
      </c>
      <c r="AR53">
        <f t="shared" si="7"/>
        <v>-2.8078586260579038E-4</v>
      </c>
    </row>
    <row r="54" spans="1:44" x14ac:dyDescent="0.25">
      <c r="A54">
        <v>0</v>
      </c>
      <c r="B54">
        <v>1</v>
      </c>
      <c r="C54">
        <v>0</v>
      </c>
      <c r="D54">
        <v>1</v>
      </c>
      <c r="E54">
        <v>1</v>
      </c>
      <c r="F54">
        <v>0</v>
      </c>
      <c r="G54">
        <v>1</v>
      </c>
      <c r="H54">
        <v>1</v>
      </c>
      <c r="J54">
        <f>(A54*Inputs!$E$2+ABS((A54-1))*(1-Inputs!$E$2))</f>
        <v>0.35</v>
      </c>
      <c r="K54">
        <f>(B54*Inputs!$E$3+ABS((B54-1))*(1-Inputs!$E$3))</f>
        <v>0.65</v>
      </c>
      <c r="L54">
        <f>(C54*Inputs!$E$4+ABS((C54-1))*(1-Inputs!$E$4))</f>
        <v>0.35</v>
      </c>
      <c r="M54">
        <f>(D54*Inputs!$E$5+ABS((D54-1))*(1-Inputs!$E$5))</f>
        <v>0.65</v>
      </c>
      <c r="N54">
        <f>(E54*Inputs!$E$6+ABS((E54-1))*(1-Inputs!$E$6))</f>
        <v>0.6</v>
      </c>
      <c r="O54">
        <f>(F54*Inputs!$E$7+ABS((F54-1))*(1-Inputs!$E$7))</f>
        <v>0.25</v>
      </c>
      <c r="P54">
        <f>(G54*Inputs!$E$8+ABS((G54-1))*(1-Inputs!$E$8))</f>
        <v>0.6</v>
      </c>
      <c r="Q54">
        <f>(H54*Inputs!$E$9+ABS((H54-1))*(1-Inputs!$E$9))</f>
        <v>0.65</v>
      </c>
      <c r="R54">
        <f t="shared" si="2"/>
        <v>3.0277406250000002E-3</v>
      </c>
      <c r="T54">
        <f>Inputs!$I$2*A54*Inputs!$G$2</f>
        <v>0</v>
      </c>
      <c r="U54">
        <f>Inputs!$I$3*B54*Inputs!$G$3</f>
        <v>0.20645773829738062</v>
      </c>
      <c r="V54">
        <f>Inputs!$I$4*C54*Inputs!$G$4</f>
        <v>0</v>
      </c>
      <c r="W54">
        <f>Inputs!$I$5*D54*Inputs!$G$5</f>
        <v>0.20551679322687164</v>
      </c>
      <c r="X54">
        <f>Inputs!$I$6*E54*Inputs!$G$6</f>
        <v>0.37656981200100598</v>
      </c>
      <c r="Y54">
        <f>Inputs!$I$7*F54*Inputs!$G$7</f>
        <v>0</v>
      </c>
      <c r="Z54">
        <f>Inputs!$I$8*G54*Inputs!$G$8</f>
        <v>0.76006970051755651</v>
      </c>
      <c r="AA54">
        <f>Inputs!$I$9*H54*Inputs!$G$9</f>
        <v>0.16590779367943137</v>
      </c>
      <c r="AB54">
        <f t="shared" si="8"/>
        <v>1.714521837722246</v>
      </c>
      <c r="AD54">
        <f>Inputs!$I$2*ABS(A54-1)*Inputs!$H$2</f>
        <v>3.0082304526748989E-2</v>
      </c>
      <c r="AE54">
        <f>Inputs!$I$3*ABS(B54-1)*Inputs!$H$3</f>
        <v>0</v>
      </c>
      <c r="AF54">
        <f>Inputs!$I$4*ABS(C54-1)*Inputs!$H$4</f>
        <v>8.9678988679000853E-3</v>
      </c>
      <c r="AG54">
        <f>Inputs!$I$5*ABS(D54-1)*Inputs!$H$5</f>
        <v>0</v>
      </c>
      <c r="AH54">
        <f>Inputs!$I$6*ABS(E54-1)*Inputs!$H$6</f>
        <v>0</v>
      </c>
      <c r="AI54">
        <f>Inputs!$I$7*ABS(F54-1)*Inputs!$H$7</f>
        <v>1.49493001411365E-2</v>
      </c>
      <c r="AJ54">
        <f>Inputs!$I$8*ABS(G54-1)*Inputs!$H$8</f>
        <v>0</v>
      </c>
      <c r="AK54">
        <f>Inputs!$I$9*ABS(H54-1)*Inputs!$H$9</f>
        <v>0</v>
      </c>
      <c r="AL54">
        <f t="shared" si="3"/>
        <v>-5.3999503535785573E-2</v>
      </c>
      <c r="AN54" s="1">
        <f t="shared" si="4"/>
        <v>1.6605223341864603</v>
      </c>
      <c r="AO54">
        <f t="shared" si="9"/>
        <v>5.0276309299361723E-3</v>
      </c>
      <c r="AP54">
        <f t="shared" si="10"/>
        <v>3.1432098573276156E-5</v>
      </c>
      <c r="AQ54" s="26">
        <f t="shared" si="6"/>
        <v>1.0029671054035283</v>
      </c>
      <c r="AR54">
        <f t="shared" si="7"/>
        <v>-1.6349649058512914E-4</v>
      </c>
    </row>
    <row r="55" spans="1:44" x14ac:dyDescent="0.25">
      <c r="A55">
        <v>0</v>
      </c>
      <c r="B55">
        <v>1</v>
      </c>
      <c r="C55">
        <v>0</v>
      </c>
      <c r="D55">
        <v>1</v>
      </c>
      <c r="E55">
        <v>0</v>
      </c>
      <c r="F55">
        <v>0</v>
      </c>
      <c r="G55">
        <v>1</v>
      </c>
      <c r="H55">
        <v>1</v>
      </c>
      <c r="J55">
        <f>(A55*Inputs!$E$2+ABS((A55-1))*(1-Inputs!$E$2))</f>
        <v>0.35</v>
      </c>
      <c r="K55">
        <f>(B55*Inputs!$E$3+ABS((B55-1))*(1-Inputs!$E$3))</f>
        <v>0.65</v>
      </c>
      <c r="L55">
        <f>(C55*Inputs!$E$4+ABS((C55-1))*(1-Inputs!$E$4))</f>
        <v>0.35</v>
      </c>
      <c r="M55">
        <f>(D55*Inputs!$E$5+ABS((D55-1))*(1-Inputs!$E$5))</f>
        <v>0.65</v>
      </c>
      <c r="N55">
        <f>(E55*Inputs!$E$6+ABS((E55-1))*(1-Inputs!$E$6))</f>
        <v>0.4</v>
      </c>
      <c r="O55">
        <f>(F55*Inputs!$E$7+ABS((F55-1))*(1-Inputs!$E$7))</f>
        <v>0.25</v>
      </c>
      <c r="P55">
        <f>(G55*Inputs!$E$8+ABS((G55-1))*(1-Inputs!$E$8))</f>
        <v>0.6</v>
      </c>
      <c r="Q55">
        <f>(H55*Inputs!$E$9+ABS((H55-1))*(1-Inputs!$E$9))</f>
        <v>0.65</v>
      </c>
      <c r="R55">
        <f t="shared" si="2"/>
        <v>2.0184937499999997E-3</v>
      </c>
      <c r="T55">
        <f>Inputs!$I$2*A55*Inputs!$G$2</f>
        <v>0</v>
      </c>
      <c r="U55">
        <f>Inputs!$I$3*B55*Inputs!$G$3</f>
        <v>0.20645773829738062</v>
      </c>
      <c r="V55">
        <f>Inputs!$I$4*C55*Inputs!$G$4</f>
        <v>0</v>
      </c>
      <c r="W55">
        <f>Inputs!$I$5*D55*Inputs!$G$5</f>
        <v>0.20551679322687164</v>
      </c>
      <c r="X55">
        <f>Inputs!$I$6*E55*Inputs!$G$6</f>
        <v>0</v>
      </c>
      <c r="Y55">
        <f>Inputs!$I$7*F55*Inputs!$G$7</f>
        <v>0</v>
      </c>
      <c r="Z55">
        <f>Inputs!$I$8*G55*Inputs!$G$8</f>
        <v>0.76006970051755651</v>
      </c>
      <c r="AA55">
        <f>Inputs!$I$9*H55*Inputs!$G$9</f>
        <v>0.16590779367943137</v>
      </c>
      <c r="AB55">
        <f t="shared" si="8"/>
        <v>1.3379520257212401</v>
      </c>
      <c r="AD55">
        <f>Inputs!$I$2*ABS(A55-1)*Inputs!$H$2</f>
        <v>3.0082304526748989E-2</v>
      </c>
      <c r="AE55">
        <f>Inputs!$I$3*ABS(B55-1)*Inputs!$H$3</f>
        <v>0</v>
      </c>
      <c r="AF55">
        <f>Inputs!$I$4*ABS(C55-1)*Inputs!$H$4</f>
        <v>8.9678988679000853E-3</v>
      </c>
      <c r="AG55">
        <f>Inputs!$I$5*ABS(D55-1)*Inputs!$H$5</f>
        <v>0</v>
      </c>
      <c r="AH55">
        <f>Inputs!$I$6*ABS(E55-1)*Inputs!$H$6</f>
        <v>6.4042485034184693E-2</v>
      </c>
      <c r="AI55">
        <f>Inputs!$I$7*ABS(F55-1)*Inputs!$H$7</f>
        <v>1.49493001411365E-2</v>
      </c>
      <c r="AJ55">
        <f>Inputs!$I$8*ABS(G55-1)*Inputs!$H$8</f>
        <v>0</v>
      </c>
      <c r="AK55">
        <f>Inputs!$I$9*ABS(H55-1)*Inputs!$H$9</f>
        <v>0</v>
      </c>
      <c r="AL55">
        <f t="shared" si="3"/>
        <v>-0.11804198856997027</v>
      </c>
      <c r="AN55" s="1">
        <f t="shared" si="4"/>
        <v>1.2199100371512699</v>
      </c>
      <c r="AO55">
        <f t="shared" si="9"/>
        <v>2.4623807855521057E-3</v>
      </c>
      <c r="AP55">
        <f t="shared" si="10"/>
        <v>2.3158877840366378E-4</v>
      </c>
      <c r="AQ55" s="26">
        <f t="shared" si="6"/>
        <v>1.0016109777244326</v>
      </c>
      <c r="AR55">
        <f t="shared" si="7"/>
        <v>-2.3826701616605638E-4</v>
      </c>
    </row>
    <row r="56" spans="1:44" x14ac:dyDescent="0.25">
      <c r="A56">
        <v>0</v>
      </c>
      <c r="B56">
        <v>1</v>
      </c>
      <c r="C56">
        <v>0</v>
      </c>
      <c r="D56">
        <v>0</v>
      </c>
      <c r="E56">
        <v>1</v>
      </c>
      <c r="F56">
        <v>0</v>
      </c>
      <c r="G56">
        <v>1</v>
      </c>
      <c r="H56">
        <v>1</v>
      </c>
      <c r="J56">
        <f>(A56*Inputs!$E$2+ABS((A56-1))*(1-Inputs!$E$2))</f>
        <v>0.35</v>
      </c>
      <c r="K56">
        <f>(B56*Inputs!$E$3+ABS((B56-1))*(1-Inputs!$E$3))</f>
        <v>0.65</v>
      </c>
      <c r="L56">
        <f>(C56*Inputs!$E$4+ABS((C56-1))*(1-Inputs!$E$4))</f>
        <v>0.35</v>
      </c>
      <c r="M56">
        <f>(D56*Inputs!$E$5+ABS((D56-1))*(1-Inputs!$E$5))</f>
        <v>0.35</v>
      </c>
      <c r="N56">
        <f>(E56*Inputs!$E$6+ABS((E56-1))*(1-Inputs!$E$6))</f>
        <v>0.6</v>
      </c>
      <c r="O56">
        <f>(F56*Inputs!$E$7+ABS((F56-1))*(1-Inputs!$E$7))</f>
        <v>0.25</v>
      </c>
      <c r="P56">
        <f>(G56*Inputs!$E$8+ABS((G56-1))*(1-Inputs!$E$8))</f>
        <v>0.6</v>
      </c>
      <c r="Q56">
        <f>(H56*Inputs!$E$9+ABS((H56-1))*(1-Inputs!$E$9))</f>
        <v>0.65</v>
      </c>
      <c r="R56">
        <f t="shared" si="2"/>
        <v>1.6303218749999999E-3</v>
      </c>
      <c r="T56">
        <f>Inputs!$I$2*A56*Inputs!$G$2</f>
        <v>0</v>
      </c>
      <c r="U56">
        <f>Inputs!$I$3*B56*Inputs!$G$3</f>
        <v>0.20645773829738062</v>
      </c>
      <c r="V56">
        <f>Inputs!$I$4*C56*Inputs!$G$4</f>
        <v>0</v>
      </c>
      <c r="W56">
        <f>Inputs!$I$5*D56*Inputs!$G$5</f>
        <v>0</v>
      </c>
      <c r="X56">
        <f>Inputs!$I$6*E56*Inputs!$G$6</f>
        <v>0.37656981200100598</v>
      </c>
      <c r="Y56">
        <f>Inputs!$I$7*F56*Inputs!$G$7</f>
        <v>0</v>
      </c>
      <c r="Z56">
        <f>Inputs!$I$8*G56*Inputs!$G$8</f>
        <v>0.76006970051755651</v>
      </c>
      <c r="AA56">
        <f>Inputs!$I$9*H56*Inputs!$G$9</f>
        <v>0.16590779367943137</v>
      </c>
      <c r="AB56">
        <f t="shared" si="8"/>
        <v>1.5090050444953744</v>
      </c>
      <c r="AD56">
        <f>Inputs!$I$2*ABS(A56-1)*Inputs!$H$2</f>
        <v>3.0082304526748989E-2</v>
      </c>
      <c r="AE56">
        <f>Inputs!$I$3*ABS(B56-1)*Inputs!$H$3</f>
        <v>0</v>
      </c>
      <c r="AF56">
        <f>Inputs!$I$4*ABS(C56-1)*Inputs!$H$4</f>
        <v>8.9678988679000853E-3</v>
      </c>
      <c r="AG56">
        <f>Inputs!$I$5*ABS(D56-1)*Inputs!$H$5</f>
        <v>3.0032539984442563E-2</v>
      </c>
      <c r="AH56">
        <f>Inputs!$I$6*ABS(E56-1)*Inputs!$H$6</f>
        <v>0</v>
      </c>
      <c r="AI56">
        <f>Inputs!$I$7*ABS(F56-1)*Inputs!$H$7</f>
        <v>1.49493001411365E-2</v>
      </c>
      <c r="AJ56">
        <f>Inputs!$I$8*ABS(G56-1)*Inputs!$H$8</f>
        <v>0</v>
      </c>
      <c r="AK56">
        <f>Inputs!$I$9*ABS(H56-1)*Inputs!$H$9</f>
        <v>0</v>
      </c>
      <c r="AL56">
        <f t="shared" si="3"/>
        <v>-8.4032043520228139E-2</v>
      </c>
      <c r="AN56" s="1">
        <f t="shared" si="4"/>
        <v>1.4249730009751462</v>
      </c>
      <c r="AO56">
        <f t="shared" si="9"/>
        <v>2.3231646547741771E-3</v>
      </c>
      <c r="AP56">
        <f t="shared" si="10"/>
        <v>2.912583271701757E-5</v>
      </c>
      <c r="AQ56" s="26">
        <f t="shared" si="6"/>
        <v>1.0014452156793807</v>
      </c>
      <c r="AR56">
        <f t="shared" si="7"/>
        <v>-1.3699927875197992E-4</v>
      </c>
    </row>
    <row r="57" spans="1:44" x14ac:dyDescent="0.25">
      <c r="A57">
        <v>0</v>
      </c>
      <c r="B57">
        <v>1</v>
      </c>
      <c r="C57">
        <v>0</v>
      </c>
      <c r="D57">
        <v>0</v>
      </c>
      <c r="E57">
        <v>0</v>
      </c>
      <c r="F57">
        <v>0</v>
      </c>
      <c r="G57">
        <v>1</v>
      </c>
      <c r="H57">
        <v>1</v>
      </c>
      <c r="J57">
        <f>(A57*Inputs!$E$2+ABS((A57-1))*(1-Inputs!$E$2))</f>
        <v>0.35</v>
      </c>
      <c r="K57">
        <f>(B57*Inputs!$E$3+ABS((B57-1))*(1-Inputs!$E$3))</f>
        <v>0.65</v>
      </c>
      <c r="L57">
        <f>(C57*Inputs!$E$4+ABS((C57-1))*(1-Inputs!$E$4))</f>
        <v>0.35</v>
      </c>
      <c r="M57">
        <f>(D57*Inputs!$E$5+ABS((D57-1))*(1-Inputs!$E$5))</f>
        <v>0.35</v>
      </c>
      <c r="N57">
        <f>(E57*Inputs!$E$6+ABS((E57-1))*(1-Inputs!$E$6))</f>
        <v>0.4</v>
      </c>
      <c r="O57">
        <f>(F57*Inputs!$E$7+ABS((F57-1))*(1-Inputs!$E$7))</f>
        <v>0.25</v>
      </c>
      <c r="P57">
        <f>(G57*Inputs!$E$8+ABS((G57-1))*(1-Inputs!$E$8))</f>
        <v>0.6</v>
      </c>
      <c r="Q57">
        <f>(H57*Inputs!$E$9+ABS((H57-1))*(1-Inputs!$E$9))</f>
        <v>0.65</v>
      </c>
      <c r="R57">
        <f t="shared" si="2"/>
        <v>1.0868812499999997E-3</v>
      </c>
      <c r="T57">
        <f>Inputs!$I$2*A57*Inputs!$G$2</f>
        <v>0</v>
      </c>
      <c r="U57">
        <f>Inputs!$I$3*B57*Inputs!$G$3</f>
        <v>0.20645773829738062</v>
      </c>
      <c r="V57">
        <f>Inputs!$I$4*C57*Inputs!$G$4</f>
        <v>0</v>
      </c>
      <c r="W57">
        <f>Inputs!$I$5*D57*Inputs!$G$5</f>
        <v>0</v>
      </c>
      <c r="X57">
        <f>Inputs!$I$6*E57*Inputs!$G$6</f>
        <v>0</v>
      </c>
      <c r="Y57">
        <f>Inputs!$I$7*F57*Inputs!$G$7</f>
        <v>0</v>
      </c>
      <c r="Z57">
        <f>Inputs!$I$8*G57*Inputs!$G$8</f>
        <v>0.76006970051755651</v>
      </c>
      <c r="AA57">
        <f>Inputs!$I$9*H57*Inputs!$G$9</f>
        <v>0.16590779367943137</v>
      </c>
      <c r="AB57">
        <f t="shared" si="8"/>
        <v>1.1324352324943685</v>
      </c>
      <c r="AD57">
        <f>Inputs!$I$2*ABS(A57-1)*Inputs!$H$2</f>
        <v>3.0082304526748989E-2</v>
      </c>
      <c r="AE57">
        <f>Inputs!$I$3*ABS(B57-1)*Inputs!$H$3</f>
        <v>0</v>
      </c>
      <c r="AF57">
        <f>Inputs!$I$4*ABS(C57-1)*Inputs!$H$4</f>
        <v>8.9678988679000853E-3</v>
      </c>
      <c r="AG57">
        <f>Inputs!$I$5*ABS(D57-1)*Inputs!$H$5</f>
        <v>3.0032539984442563E-2</v>
      </c>
      <c r="AH57">
        <f>Inputs!$I$6*ABS(E57-1)*Inputs!$H$6</f>
        <v>6.4042485034184693E-2</v>
      </c>
      <c r="AI57">
        <f>Inputs!$I$7*ABS(F57-1)*Inputs!$H$7</f>
        <v>1.49493001411365E-2</v>
      </c>
      <c r="AJ57">
        <f>Inputs!$I$8*ABS(G57-1)*Inputs!$H$8</f>
        <v>0</v>
      </c>
      <c r="AK57">
        <f>Inputs!$I$9*ABS(H57-1)*Inputs!$H$9</f>
        <v>0</v>
      </c>
      <c r="AL57">
        <f t="shared" si="3"/>
        <v>-0.14807452855441283</v>
      </c>
      <c r="AN57" s="1">
        <f t="shared" si="4"/>
        <v>0.98436070393995567</v>
      </c>
      <c r="AO57">
        <f t="shared" si="9"/>
        <v>1.0698831923491386E-3</v>
      </c>
      <c r="AP57">
        <f t="shared" si="10"/>
        <v>3.5844152297031948E-4</v>
      </c>
      <c r="AQ57" s="26">
        <f t="shared" si="6"/>
        <v>1.0007451137006527</v>
      </c>
      <c r="AR57">
        <f t="shared" si="7"/>
        <v>-1.6093942868838088E-4</v>
      </c>
    </row>
    <row r="58" spans="1:44" x14ac:dyDescent="0.25">
      <c r="A58">
        <v>0</v>
      </c>
      <c r="B58">
        <v>0</v>
      </c>
      <c r="C58">
        <v>1</v>
      </c>
      <c r="D58">
        <v>1</v>
      </c>
      <c r="E58">
        <v>1</v>
      </c>
      <c r="F58">
        <v>0</v>
      </c>
      <c r="G58">
        <v>1</v>
      </c>
      <c r="H58">
        <v>1</v>
      </c>
      <c r="J58">
        <f>(A58*Inputs!$E$2+ABS((A58-1))*(1-Inputs!$E$2))</f>
        <v>0.35</v>
      </c>
      <c r="K58">
        <f>(B58*Inputs!$E$3+ABS((B58-1))*(1-Inputs!$E$3))</f>
        <v>0.35</v>
      </c>
      <c r="L58">
        <f>(C58*Inputs!$E$4+ABS((C58-1))*(1-Inputs!$E$4))</f>
        <v>0.65</v>
      </c>
      <c r="M58">
        <f>(D58*Inputs!$E$5+ABS((D58-1))*(1-Inputs!$E$5))</f>
        <v>0.65</v>
      </c>
      <c r="N58">
        <f>(E58*Inputs!$E$6+ABS((E58-1))*(1-Inputs!$E$6))</f>
        <v>0.6</v>
      </c>
      <c r="O58">
        <f>(F58*Inputs!$E$7+ABS((F58-1))*(1-Inputs!$E$7))</f>
        <v>0.25</v>
      </c>
      <c r="P58">
        <f>(G58*Inputs!$E$8+ABS((G58-1))*(1-Inputs!$E$8))</f>
        <v>0.6</v>
      </c>
      <c r="Q58">
        <f>(H58*Inputs!$E$9+ABS((H58-1))*(1-Inputs!$E$9))</f>
        <v>0.65</v>
      </c>
      <c r="R58">
        <f t="shared" si="2"/>
        <v>3.0277406250000002E-3</v>
      </c>
      <c r="T58">
        <f>Inputs!$I$2*A58*Inputs!$G$2</f>
        <v>0</v>
      </c>
      <c r="U58">
        <f>Inputs!$I$3*B58*Inputs!$G$3</f>
        <v>0</v>
      </c>
      <c r="V58">
        <f>Inputs!$I$4*C58*Inputs!$G$4</f>
        <v>0.1422264291528948</v>
      </c>
      <c r="W58">
        <f>Inputs!$I$5*D58*Inputs!$G$5</f>
        <v>0.20551679322687164</v>
      </c>
      <c r="X58">
        <f>Inputs!$I$6*E58*Inputs!$G$6</f>
        <v>0.37656981200100598</v>
      </c>
      <c r="Y58">
        <f>Inputs!$I$7*F58*Inputs!$G$7</f>
        <v>0</v>
      </c>
      <c r="Z58">
        <f>Inputs!$I$8*G58*Inputs!$G$8</f>
        <v>0.76006970051755651</v>
      </c>
      <c r="AA58">
        <f>Inputs!$I$9*H58*Inputs!$G$9</f>
        <v>0.16590779367943137</v>
      </c>
      <c r="AB58">
        <f t="shared" si="8"/>
        <v>1.6502905285777603</v>
      </c>
      <c r="AD58">
        <f>Inputs!$I$2*ABS(A58-1)*Inputs!$H$2</f>
        <v>3.0082304526748989E-2</v>
      </c>
      <c r="AE58">
        <f>Inputs!$I$3*ABS(B58-1)*Inputs!$H$3</f>
        <v>1.1405796839520112E-2</v>
      </c>
      <c r="AF58">
        <f>Inputs!$I$4*ABS(C58-1)*Inputs!$H$4</f>
        <v>0</v>
      </c>
      <c r="AG58">
        <f>Inputs!$I$5*ABS(D58-1)*Inputs!$H$5</f>
        <v>0</v>
      </c>
      <c r="AH58">
        <f>Inputs!$I$6*ABS(E58-1)*Inputs!$H$6</f>
        <v>0</v>
      </c>
      <c r="AI58">
        <f>Inputs!$I$7*ABS(F58-1)*Inputs!$H$7</f>
        <v>1.49493001411365E-2</v>
      </c>
      <c r="AJ58">
        <f>Inputs!$I$8*ABS(G58-1)*Inputs!$H$8</f>
        <v>0</v>
      </c>
      <c r="AK58">
        <f>Inputs!$I$9*ABS(H58-1)*Inputs!$H$9</f>
        <v>0</v>
      </c>
      <c r="AL58">
        <f t="shared" si="3"/>
        <v>-5.6437401507405602E-2</v>
      </c>
      <c r="AN58" s="1">
        <f t="shared" si="4"/>
        <v>1.5938531270703546</v>
      </c>
      <c r="AO58">
        <f t="shared" si="9"/>
        <v>4.8257738631142001E-3</v>
      </c>
      <c r="AP58">
        <f t="shared" si="10"/>
        <v>3.7557145946785722E-6</v>
      </c>
      <c r="AQ58" s="26">
        <f t="shared" si="6"/>
        <v>1.0028900423588785</v>
      </c>
      <c r="AR58">
        <f t="shared" si="7"/>
        <v>-1.7087781331340818E-4</v>
      </c>
    </row>
    <row r="59" spans="1:44" x14ac:dyDescent="0.25">
      <c r="A59">
        <v>0</v>
      </c>
      <c r="B59">
        <v>0</v>
      </c>
      <c r="C59">
        <v>1</v>
      </c>
      <c r="D59">
        <v>1</v>
      </c>
      <c r="E59">
        <v>0</v>
      </c>
      <c r="F59">
        <v>0</v>
      </c>
      <c r="G59">
        <v>1</v>
      </c>
      <c r="H59">
        <v>1</v>
      </c>
      <c r="J59">
        <f>(A59*Inputs!$E$2+ABS((A59-1))*(1-Inputs!$E$2))</f>
        <v>0.35</v>
      </c>
      <c r="K59">
        <f>(B59*Inputs!$E$3+ABS((B59-1))*(1-Inputs!$E$3))</f>
        <v>0.35</v>
      </c>
      <c r="L59">
        <f>(C59*Inputs!$E$4+ABS((C59-1))*(1-Inputs!$E$4))</f>
        <v>0.65</v>
      </c>
      <c r="M59">
        <f>(D59*Inputs!$E$5+ABS((D59-1))*(1-Inputs!$E$5))</f>
        <v>0.65</v>
      </c>
      <c r="N59">
        <f>(E59*Inputs!$E$6+ABS((E59-1))*(1-Inputs!$E$6))</f>
        <v>0.4</v>
      </c>
      <c r="O59">
        <f>(F59*Inputs!$E$7+ABS((F59-1))*(1-Inputs!$E$7))</f>
        <v>0.25</v>
      </c>
      <c r="P59">
        <f>(G59*Inputs!$E$8+ABS((G59-1))*(1-Inputs!$E$8))</f>
        <v>0.6</v>
      </c>
      <c r="Q59">
        <f>(H59*Inputs!$E$9+ABS((H59-1))*(1-Inputs!$E$9))</f>
        <v>0.65</v>
      </c>
      <c r="R59">
        <f t="shared" si="2"/>
        <v>2.0184937499999997E-3</v>
      </c>
      <c r="T59">
        <f>Inputs!$I$2*A59*Inputs!$G$2</f>
        <v>0</v>
      </c>
      <c r="U59">
        <f>Inputs!$I$3*B59*Inputs!$G$3</f>
        <v>0</v>
      </c>
      <c r="V59">
        <f>Inputs!$I$4*C59*Inputs!$G$4</f>
        <v>0.1422264291528948</v>
      </c>
      <c r="W59">
        <f>Inputs!$I$5*D59*Inputs!$G$5</f>
        <v>0.20551679322687164</v>
      </c>
      <c r="X59">
        <f>Inputs!$I$6*E59*Inputs!$G$6</f>
        <v>0</v>
      </c>
      <c r="Y59">
        <f>Inputs!$I$7*F59*Inputs!$G$7</f>
        <v>0</v>
      </c>
      <c r="Z59">
        <f>Inputs!$I$8*G59*Inputs!$G$8</f>
        <v>0.76006970051755651</v>
      </c>
      <c r="AA59">
        <f>Inputs!$I$9*H59*Inputs!$G$9</f>
        <v>0.16590779367943137</v>
      </c>
      <c r="AB59">
        <f t="shared" si="8"/>
        <v>1.2737207165767543</v>
      </c>
      <c r="AD59">
        <f>Inputs!$I$2*ABS(A59-1)*Inputs!$H$2</f>
        <v>3.0082304526748989E-2</v>
      </c>
      <c r="AE59">
        <f>Inputs!$I$3*ABS(B59-1)*Inputs!$H$3</f>
        <v>1.1405796839520112E-2</v>
      </c>
      <c r="AF59">
        <f>Inputs!$I$4*ABS(C59-1)*Inputs!$H$4</f>
        <v>0</v>
      </c>
      <c r="AG59">
        <f>Inputs!$I$5*ABS(D59-1)*Inputs!$H$5</f>
        <v>0</v>
      </c>
      <c r="AH59">
        <f>Inputs!$I$6*ABS(E59-1)*Inputs!$H$6</f>
        <v>6.4042485034184693E-2</v>
      </c>
      <c r="AI59">
        <f>Inputs!$I$7*ABS(F59-1)*Inputs!$H$7</f>
        <v>1.49493001411365E-2</v>
      </c>
      <c r="AJ59">
        <f>Inputs!$I$8*ABS(G59-1)*Inputs!$H$8</f>
        <v>0</v>
      </c>
      <c r="AK59">
        <f>Inputs!$I$9*ABS(H59-1)*Inputs!$H$9</f>
        <v>0</v>
      </c>
      <c r="AL59">
        <f t="shared" si="3"/>
        <v>-0.12047988654159029</v>
      </c>
      <c r="AN59" s="1">
        <f t="shared" si="4"/>
        <v>1.153240830035164</v>
      </c>
      <c r="AO59">
        <f t="shared" si="9"/>
        <v>2.3278094076707905E-3</v>
      </c>
      <c r="AP59">
        <f t="shared" si="10"/>
        <v>3.3172546359821927E-4</v>
      </c>
      <c r="AQ59" s="26">
        <f t="shared" si="6"/>
        <v>1.0015493313422956</v>
      </c>
      <c r="AR59">
        <f t="shared" si="7"/>
        <v>-2.431878979849091E-4</v>
      </c>
    </row>
    <row r="60" spans="1:44" x14ac:dyDescent="0.25">
      <c r="A60">
        <v>0</v>
      </c>
      <c r="B60">
        <v>0</v>
      </c>
      <c r="C60">
        <v>1</v>
      </c>
      <c r="D60">
        <v>0</v>
      </c>
      <c r="E60">
        <v>1</v>
      </c>
      <c r="F60">
        <v>0</v>
      </c>
      <c r="G60">
        <v>1</v>
      </c>
      <c r="H60">
        <v>1</v>
      </c>
      <c r="J60">
        <f>(A60*Inputs!$E$2+ABS((A60-1))*(1-Inputs!$E$2))</f>
        <v>0.35</v>
      </c>
      <c r="K60">
        <f>(B60*Inputs!$E$3+ABS((B60-1))*(1-Inputs!$E$3))</f>
        <v>0.35</v>
      </c>
      <c r="L60">
        <f>(C60*Inputs!$E$4+ABS((C60-1))*(1-Inputs!$E$4))</f>
        <v>0.65</v>
      </c>
      <c r="M60">
        <f>(D60*Inputs!$E$5+ABS((D60-1))*(1-Inputs!$E$5))</f>
        <v>0.35</v>
      </c>
      <c r="N60">
        <f>(E60*Inputs!$E$6+ABS((E60-1))*(1-Inputs!$E$6))</f>
        <v>0.6</v>
      </c>
      <c r="O60">
        <f>(F60*Inputs!$E$7+ABS((F60-1))*(1-Inputs!$E$7))</f>
        <v>0.25</v>
      </c>
      <c r="P60">
        <f>(G60*Inputs!$E$8+ABS((G60-1))*(1-Inputs!$E$8))</f>
        <v>0.6</v>
      </c>
      <c r="Q60">
        <f>(H60*Inputs!$E$9+ABS((H60-1))*(1-Inputs!$E$9))</f>
        <v>0.65</v>
      </c>
      <c r="R60">
        <f t="shared" si="2"/>
        <v>1.6303218749999999E-3</v>
      </c>
      <c r="T60">
        <f>Inputs!$I$2*A60*Inputs!$G$2</f>
        <v>0</v>
      </c>
      <c r="U60">
        <f>Inputs!$I$3*B60*Inputs!$G$3</f>
        <v>0</v>
      </c>
      <c r="V60">
        <f>Inputs!$I$4*C60*Inputs!$G$4</f>
        <v>0.1422264291528948</v>
      </c>
      <c r="W60">
        <f>Inputs!$I$5*D60*Inputs!$G$5</f>
        <v>0</v>
      </c>
      <c r="X60">
        <f>Inputs!$I$6*E60*Inputs!$G$6</f>
        <v>0.37656981200100598</v>
      </c>
      <c r="Y60">
        <f>Inputs!$I$7*F60*Inputs!$G$7</f>
        <v>0</v>
      </c>
      <c r="Z60">
        <f>Inputs!$I$8*G60*Inputs!$G$8</f>
        <v>0.76006970051755651</v>
      </c>
      <c r="AA60">
        <f>Inputs!$I$9*H60*Inputs!$G$9</f>
        <v>0.16590779367943137</v>
      </c>
      <c r="AB60">
        <f t="shared" si="8"/>
        <v>1.4447737353508887</v>
      </c>
      <c r="AD60">
        <f>Inputs!$I$2*ABS(A60-1)*Inputs!$H$2</f>
        <v>3.0082304526748989E-2</v>
      </c>
      <c r="AE60">
        <f>Inputs!$I$3*ABS(B60-1)*Inputs!$H$3</f>
        <v>1.1405796839520112E-2</v>
      </c>
      <c r="AF60">
        <f>Inputs!$I$4*ABS(C60-1)*Inputs!$H$4</f>
        <v>0</v>
      </c>
      <c r="AG60">
        <f>Inputs!$I$5*ABS(D60-1)*Inputs!$H$5</f>
        <v>3.0032539984442563E-2</v>
      </c>
      <c r="AH60">
        <f>Inputs!$I$6*ABS(E60-1)*Inputs!$H$6</f>
        <v>0</v>
      </c>
      <c r="AI60">
        <f>Inputs!$I$7*ABS(F60-1)*Inputs!$H$7</f>
        <v>1.49493001411365E-2</v>
      </c>
      <c r="AJ60">
        <f>Inputs!$I$8*ABS(G60-1)*Inputs!$H$8</f>
        <v>0</v>
      </c>
      <c r="AK60">
        <f>Inputs!$I$9*ABS(H60-1)*Inputs!$H$9</f>
        <v>0</v>
      </c>
      <c r="AL60">
        <f t="shared" si="3"/>
        <v>-8.6469941491848168E-2</v>
      </c>
      <c r="AN60" s="1">
        <f t="shared" si="4"/>
        <v>1.3583037938590405</v>
      </c>
      <c r="AO60">
        <f t="shared" si="9"/>
        <v>2.2144723880238842E-3</v>
      </c>
      <c r="AP60">
        <f t="shared" si="10"/>
        <v>6.5427946337365142E-5</v>
      </c>
      <c r="AQ60" s="26">
        <f t="shared" si="6"/>
        <v>1.0013997013046454</v>
      </c>
      <c r="AR60">
        <f t="shared" si="7"/>
        <v>-1.4097383714413019E-4</v>
      </c>
    </row>
    <row r="61" spans="1:44" x14ac:dyDescent="0.25">
      <c r="A61">
        <v>0</v>
      </c>
      <c r="B61">
        <v>0</v>
      </c>
      <c r="C61">
        <v>1</v>
      </c>
      <c r="D61">
        <v>0</v>
      </c>
      <c r="E61">
        <v>0</v>
      </c>
      <c r="F61">
        <v>0</v>
      </c>
      <c r="G61">
        <v>1</v>
      </c>
      <c r="H61">
        <v>1</v>
      </c>
      <c r="J61">
        <f>(A61*Inputs!$E$2+ABS((A61-1))*(1-Inputs!$E$2))</f>
        <v>0.35</v>
      </c>
      <c r="K61">
        <f>(B61*Inputs!$E$3+ABS((B61-1))*(1-Inputs!$E$3))</f>
        <v>0.35</v>
      </c>
      <c r="L61">
        <f>(C61*Inputs!$E$4+ABS((C61-1))*(1-Inputs!$E$4))</f>
        <v>0.65</v>
      </c>
      <c r="M61">
        <f>(D61*Inputs!$E$5+ABS((D61-1))*(1-Inputs!$E$5))</f>
        <v>0.35</v>
      </c>
      <c r="N61">
        <f>(E61*Inputs!$E$6+ABS((E61-1))*(1-Inputs!$E$6))</f>
        <v>0.4</v>
      </c>
      <c r="O61">
        <f>(F61*Inputs!$E$7+ABS((F61-1))*(1-Inputs!$E$7))</f>
        <v>0.25</v>
      </c>
      <c r="P61">
        <f>(G61*Inputs!$E$8+ABS((G61-1))*(1-Inputs!$E$8))</f>
        <v>0.6</v>
      </c>
      <c r="Q61">
        <f>(H61*Inputs!$E$9+ABS((H61-1))*(1-Inputs!$E$9))</f>
        <v>0.65</v>
      </c>
      <c r="R61">
        <f t="shared" si="2"/>
        <v>1.0868812499999997E-3</v>
      </c>
      <c r="T61">
        <f>Inputs!$I$2*A61*Inputs!$G$2</f>
        <v>0</v>
      </c>
      <c r="U61">
        <f>Inputs!$I$3*B61*Inputs!$G$3</f>
        <v>0</v>
      </c>
      <c r="V61">
        <f>Inputs!$I$4*C61*Inputs!$G$4</f>
        <v>0.1422264291528948</v>
      </c>
      <c r="W61">
        <f>Inputs!$I$5*D61*Inputs!$G$5</f>
        <v>0</v>
      </c>
      <c r="X61">
        <f>Inputs!$I$6*E61*Inputs!$G$6</f>
        <v>0</v>
      </c>
      <c r="Y61">
        <f>Inputs!$I$7*F61*Inputs!$G$7</f>
        <v>0</v>
      </c>
      <c r="Z61">
        <f>Inputs!$I$8*G61*Inputs!$G$8</f>
        <v>0.76006970051755651</v>
      </c>
      <c r="AA61">
        <f>Inputs!$I$9*H61*Inputs!$G$9</f>
        <v>0.16590779367943137</v>
      </c>
      <c r="AB61">
        <f t="shared" si="8"/>
        <v>1.0682039233498826</v>
      </c>
      <c r="AD61">
        <f>Inputs!$I$2*ABS(A61-1)*Inputs!$H$2</f>
        <v>3.0082304526748989E-2</v>
      </c>
      <c r="AE61">
        <f>Inputs!$I$3*ABS(B61-1)*Inputs!$H$3</f>
        <v>1.1405796839520112E-2</v>
      </c>
      <c r="AF61">
        <f>Inputs!$I$4*ABS(C61-1)*Inputs!$H$4</f>
        <v>0</v>
      </c>
      <c r="AG61">
        <f>Inputs!$I$5*ABS(D61-1)*Inputs!$H$5</f>
        <v>3.0032539984442563E-2</v>
      </c>
      <c r="AH61">
        <f>Inputs!$I$6*ABS(E61-1)*Inputs!$H$6</f>
        <v>6.4042485034184693E-2</v>
      </c>
      <c r="AI61">
        <f>Inputs!$I$7*ABS(F61-1)*Inputs!$H$7</f>
        <v>1.49493001411365E-2</v>
      </c>
      <c r="AJ61">
        <f>Inputs!$I$8*ABS(G61-1)*Inputs!$H$8</f>
        <v>0</v>
      </c>
      <c r="AK61">
        <f>Inputs!$I$9*ABS(H61-1)*Inputs!$H$9</f>
        <v>0</v>
      </c>
      <c r="AL61">
        <f t="shared" si="3"/>
        <v>-0.15051242652603286</v>
      </c>
      <c r="AN61" s="1">
        <f t="shared" si="4"/>
        <v>0.91769149682384965</v>
      </c>
      <c r="AO61">
        <f t="shared" si="9"/>
        <v>9.9742168118227646E-4</v>
      </c>
      <c r="AP61">
        <f t="shared" si="10"/>
        <v>4.4649779781429582E-4</v>
      </c>
      <c r="AQ61" s="26">
        <f t="shared" si="6"/>
        <v>1.0007079428940504</v>
      </c>
      <c r="AR61">
        <f t="shared" si="7"/>
        <v>-1.6358913428314771E-4</v>
      </c>
    </row>
    <row r="62" spans="1:44" x14ac:dyDescent="0.25">
      <c r="A62">
        <v>0</v>
      </c>
      <c r="B62">
        <v>0</v>
      </c>
      <c r="C62">
        <v>0</v>
      </c>
      <c r="D62">
        <v>1</v>
      </c>
      <c r="E62">
        <v>1</v>
      </c>
      <c r="F62">
        <v>0</v>
      </c>
      <c r="G62">
        <v>1</v>
      </c>
      <c r="H62">
        <v>1</v>
      </c>
      <c r="J62">
        <f>(A62*Inputs!$E$2+ABS((A62-1))*(1-Inputs!$E$2))</f>
        <v>0.35</v>
      </c>
      <c r="K62">
        <f>(B62*Inputs!$E$3+ABS((B62-1))*(1-Inputs!$E$3))</f>
        <v>0.35</v>
      </c>
      <c r="L62">
        <f>(C62*Inputs!$E$4+ABS((C62-1))*(1-Inputs!$E$4))</f>
        <v>0.35</v>
      </c>
      <c r="M62">
        <f>(D62*Inputs!$E$5+ABS((D62-1))*(1-Inputs!$E$5))</f>
        <v>0.65</v>
      </c>
      <c r="N62">
        <f>(E62*Inputs!$E$6+ABS((E62-1))*(1-Inputs!$E$6))</f>
        <v>0.6</v>
      </c>
      <c r="O62">
        <f>(F62*Inputs!$E$7+ABS((F62-1))*(1-Inputs!$E$7))</f>
        <v>0.25</v>
      </c>
      <c r="P62">
        <f>(G62*Inputs!$E$8+ABS((G62-1))*(1-Inputs!$E$8))</f>
        <v>0.6</v>
      </c>
      <c r="Q62">
        <f>(H62*Inputs!$E$9+ABS((H62-1))*(1-Inputs!$E$9))</f>
        <v>0.65</v>
      </c>
      <c r="R62">
        <f t="shared" si="2"/>
        <v>1.6303218749999999E-3</v>
      </c>
      <c r="T62">
        <f>Inputs!$I$2*A62*Inputs!$G$2</f>
        <v>0</v>
      </c>
      <c r="U62">
        <f>Inputs!$I$3*B62*Inputs!$G$3</f>
        <v>0</v>
      </c>
      <c r="V62">
        <f>Inputs!$I$4*C62*Inputs!$G$4</f>
        <v>0</v>
      </c>
      <c r="W62">
        <f>Inputs!$I$5*D62*Inputs!$G$5</f>
        <v>0.20551679322687164</v>
      </c>
      <c r="X62">
        <f>Inputs!$I$6*E62*Inputs!$G$6</f>
        <v>0.37656981200100598</v>
      </c>
      <c r="Y62">
        <f>Inputs!$I$7*F62*Inputs!$G$7</f>
        <v>0</v>
      </c>
      <c r="Z62">
        <f>Inputs!$I$8*G62*Inputs!$G$8</f>
        <v>0.76006970051755651</v>
      </c>
      <c r="AA62">
        <f>Inputs!$I$9*H62*Inputs!$G$9</f>
        <v>0.16590779367943137</v>
      </c>
      <c r="AB62">
        <f t="shared" si="8"/>
        <v>1.5080640994248653</v>
      </c>
      <c r="AD62">
        <f>Inputs!$I$2*ABS(A62-1)*Inputs!$H$2</f>
        <v>3.0082304526748989E-2</v>
      </c>
      <c r="AE62">
        <f>Inputs!$I$3*ABS(B62-1)*Inputs!$H$3</f>
        <v>1.1405796839520112E-2</v>
      </c>
      <c r="AF62">
        <f>Inputs!$I$4*ABS(C62-1)*Inputs!$H$4</f>
        <v>8.9678988679000853E-3</v>
      </c>
      <c r="AG62">
        <f>Inputs!$I$5*ABS(D62-1)*Inputs!$H$5</f>
        <v>0</v>
      </c>
      <c r="AH62">
        <f>Inputs!$I$6*ABS(E62-1)*Inputs!$H$6</f>
        <v>0</v>
      </c>
      <c r="AI62">
        <f>Inputs!$I$7*ABS(F62-1)*Inputs!$H$7</f>
        <v>1.49493001411365E-2</v>
      </c>
      <c r="AJ62">
        <f>Inputs!$I$8*ABS(G62-1)*Inputs!$H$8</f>
        <v>0</v>
      </c>
      <c r="AK62">
        <f>Inputs!$I$9*ABS(H62-1)*Inputs!$H$9</f>
        <v>0</v>
      </c>
      <c r="AL62">
        <f t="shared" si="3"/>
        <v>-6.5405300375305689E-2</v>
      </c>
      <c r="AN62" s="1">
        <f t="shared" si="4"/>
        <v>1.4426587990495596</v>
      </c>
      <c r="AO62">
        <f t="shared" si="9"/>
        <v>2.3519981982517259E-3</v>
      </c>
      <c r="AP62">
        <f t="shared" si="10"/>
        <v>2.1927975631412602E-5</v>
      </c>
      <c r="AQ62" s="26">
        <f t="shared" si="6"/>
        <v>1.0014570799753924</v>
      </c>
      <c r="AR62">
        <f t="shared" si="7"/>
        <v>-1.0663169194280656E-4</v>
      </c>
    </row>
    <row r="63" spans="1:44" x14ac:dyDescent="0.25">
      <c r="A63">
        <v>0</v>
      </c>
      <c r="B63">
        <v>0</v>
      </c>
      <c r="C63">
        <v>0</v>
      </c>
      <c r="D63">
        <v>1</v>
      </c>
      <c r="E63">
        <v>0</v>
      </c>
      <c r="F63">
        <v>0</v>
      </c>
      <c r="G63">
        <v>1</v>
      </c>
      <c r="H63">
        <v>1</v>
      </c>
      <c r="J63">
        <f>(A63*Inputs!$E$2+ABS((A63-1))*(1-Inputs!$E$2))</f>
        <v>0.35</v>
      </c>
      <c r="K63">
        <f>(B63*Inputs!$E$3+ABS((B63-1))*(1-Inputs!$E$3))</f>
        <v>0.35</v>
      </c>
      <c r="L63">
        <f>(C63*Inputs!$E$4+ABS((C63-1))*(1-Inputs!$E$4))</f>
        <v>0.35</v>
      </c>
      <c r="M63">
        <f>(D63*Inputs!$E$5+ABS((D63-1))*(1-Inputs!$E$5))</f>
        <v>0.65</v>
      </c>
      <c r="N63">
        <f>(E63*Inputs!$E$6+ABS((E63-1))*(1-Inputs!$E$6))</f>
        <v>0.4</v>
      </c>
      <c r="O63">
        <f>(F63*Inputs!$E$7+ABS((F63-1))*(1-Inputs!$E$7))</f>
        <v>0.25</v>
      </c>
      <c r="P63">
        <f>(G63*Inputs!$E$8+ABS((G63-1))*(1-Inputs!$E$8))</f>
        <v>0.6</v>
      </c>
      <c r="Q63">
        <f>(H63*Inputs!$E$9+ABS((H63-1))*(1-Inputs!$E$9))</f>
        <v>0.65</v>
      </c>
      <c r="R63">
        <f t="shared" si="2"/>
        <v>1.0868812499999997E-3</v>
      </c>
      <c r="T63">
        <f>Inputs!$I$2*A63*Inputs!$G$2</f>
        <v>0</v>
      </c>
      <c r="U63">
        <f>Inputs!$I$3*B63*Inputs!$G$3</f>
        <v>0</v>
      </c>
      <c r="V63">
        <f>Inputs!$I$4*C63*Inputs!$G$4</f>
        <v>0</v>
      </c>
      <c r="W63">
        <f>Inputs!$I$5*D63*Inputs!$G$5</f>
        <v>0.20551679322687164</v>
      </c>
      <c r="X63">
        <f>Inputs!$I$6*E63*Inputs!$G$6</f>
        <v>0</v>
      </c>
      <c r="Y63">
        <f>Inputs!$I$7*F63*Inputs!$G$7</f>
        <v>0</v>
      </c>
      <c r="Z63">
        <f>Inputs!$I$8*G63*Inputs!$G$8</f>
        <v>0.76006970051755651</v>
      </c>
      <c r="AA63">
        <f>Inputs!$I$9*H63*Inputs!$G$9</f>
        <v>0.16590779367943137</v>
      </c>
      <c r="AB63">
        <f t="shared" si="8"/>
        <v>1.1314942874238596</v>
      </c>
      <c r="AD63">
        <f>Inputs!$I$2*ABS(A63-1)*Inputs!$H$2</f>
        <v>3.0082304526748989E-2</v>
      </c>
      <c r="AE63">
        <f>Inputs!$I$3*ABS(B63-1)*Inputs!$H$3</f>
        <v>1.1405796839520112E-2</v>
      </c>
      <c r="AF63">
        <f>Inputs!$I$4*ABS(C63-1)*Inputs!$H$4</f>
        <v>8.9678988679000853E-3</v>
      </c>
      <c r="AG63">
        <f>Inputs!$I$5*ABS(D63-1)*Inputs!$H$5</f>
        <v>0</v>
      </c>
      <c r="AH63">
        <f>Inputs!$I$6*ABS(E63-1)*Inputs!$H$6</f>
        <v>6.4042485034184693E-2</v>
      </c>
      <c r="AI63">
        <f>Inputs!$I$7*ABS(F63-1)*Inputs!$H$7</f>
        <v>1.49493001411365E-2</v>
      </c>
      <c r="AJ63">
        <f>Inputs!$I$8*ABS(G63-1)*Inputs!$H$8</f>
        <v>0</v>
      </c>
      <c r="AK63">
        <f>Inputs!$I$9*ABS(H63-1)*Inputs!$H$9</f>
        <v>0</v>
      </c>
      <c r="AL63">
        <f t="shared" si="3"/>
        <v>-0.12944778540949037</v>
      </c>
      <c r="AN63" s="1">
        <f t="shared" si="4"/>
        <v>1.0020465020143692</v>
      </c>
      <c r="AO63">
        <f t="shared" si="9"/>
        <v>1.0891055546675048E-3</v>
      </c>
      <c r="AP63">
        <f t="shared" si="10"/>
        <v>3.3670373314884013E-4</v>
      </c>
      <c r="AQ63" s="26">
        <f t="shared" si="6"/>
        <v>1.0007547649495803</v>
      </c>
      <c r="AR63">
        <f t="shared" si="7"/>
        <v>-1.4069437081559862E-4</v>
      </c>
    </row>
    <row r="64" spans="1:44" x14ac:dyDescent="0.25">
      <c r="A64">
        <v>0</v>
      </c>
      <c r="B64">
        <v>0</v>
      </c>
      <c r="C64">
        <v>0</v>
      </c>
      <c r="D64">
        <v>0</v>
      </c>
      <c r="E64">
        <v>1</v>
      </c>
      <c r="F64">
        <v>0</v>
      </c>
      <c r="G64">
        <v>1</v>
      </c>
      <c r="H64">
        <v>1</v>
      </c>
      <c r="J64">
        <f>(A64*Inputs!$E$2+ABS((A64-1))*(1-Inputs!$E$2))</f>
        <v>0.35</v>
      </c>
      <c r="K64">
        <f>(B64*Inputs!$E$3+ABS((B64-1))*(1-Inputs!$E$3))</f>
        <v>0.35</v>
      </c>
      <c r="L64">
        <f>(C64*Inputs!$E$4+ABS((C64-1))*(1-Inputs!$E$4))</f>
        <v>0.35</v>
      </c>
      <c r="M64">
        <f>(D64*Inputs!$E$5+ABS((D64-1))*(1-Inputs!$E$5))</f>
        <v>0.35</v>
      </c>
      <c r="N64">
        <f>(E64*Inputs!$E$6+ABS((E64-1))*(1-Inputs!$E$6))</f>
        <v>0.6</v>
      </c>
      <c r="O64">
        <f>(F64*Inputs!$E$7+ABS((F64-1))*(1-Inputs!$E$7))</f>
        <v>0.25</v>
      </c>
      <c r="P64">
        <f>(G64*Inputs!$E$8+ABS((G64-1))*(1-Inputs!$E$8))</f>
        <v>0.6</v>
      </c>
      <c r="Q64">
        <f>(H64*Inputs!$E$9+ABS((H64-1))*(1-Inputs!$E$9))</f>
        <v>0.65</v>
      </c>
      <c r="R64">
        <f t="shared" si="2"/>
        <v>8.7786562499999959E-4</v>
      </c>
      <c r="T64">
        <f>Inputs!$I$2*A64*Inputs!$G$2</f>
        <v>0</v>
      </c>
      <c r="U64">
        <f>Inputs!$I$3*B64*Inputs!$G$3</f>
        <v>0</v>
      </c>
      <c r="V64">
        <f>Inputs!$I$4*C64*Inputs!$G$4</f>
        <v>0</v>
      </c>
      <c r="W64">
        <f>Inputs!$I$5*D64*Inputs!$G$5</f>
        <v>0</v>
      </c>
      <c r="X64">
        <f>Inputs!$I$6*E64*Inputs!$G$6</f>
        <v>0.37656981200100598</v>
      </c>
      <c r="Y64">
        <f>Inputs!$I$7*F64*Inputs!$G$7</f>
        <v>0</v>
      </c>
      <c r="Z64">
        <f>Inputs!$I$8*G64*Inputs!$G$8</f>
        <v>0.76006970051755651</v>
      </c>
      <c r="AA64">
        <f>Inputs!$I$9*H64*Inputs!$G$9</f>
        <v>0.16590779367943137</v>
      </c>
      <c r="AB64">
        <f t="shared" si="8"/>
        <v>1.3025473061979937</v>
      </c>
      <c r="AD64">
        <f>Inputs!$I$2*ABS(A64-1)*Inputs!$H$2</f>
        <v>3.0082304526748989E-2</v>
      </c>
      <c r="AE64">
        <f>Inputs!$I$3*ABS(B64-1)*Inputs!$H$3</f>
        <v>1.1405796839520112E-2</v>
      </c>
      <c r="AF64">
        <f>Inputs!$I$4*ABS(C64-1)*Inputs!$H$4</f>
        <v>8.9678988679000853E-3</v>
      </c>
      <c r="AG64">
        <f>Inputs!$I$5*ABS(D64-1)*Inputs!$H$5</f>
        <v>3.0032539984442563E-2</v>
      </c>
      <c r="AH64">
        <f>Inputs!$I$6*ABS(E64-1)*Inputs!$H$6</f>
        <v>0</v>
      </c>
      <c r="AI64">
        <f>Inputs!$I$7*ABS(F64-1)*Inputs!$H$7</f>
        <v>1.49493001411365E-2</v>
      </c>
      <c r="AJ64">
        <f>Inputs!$I$8*ABS(G64-1)*Inputs!$H$8</f>
        <v>0</v>
      </c>
      <c r="AK64">
        <f>Inputs!$I$9*ABS(H64-1)*Inputs!$H$9</f>
        <v>0</v>
      </c>
      <c r="AL64">
        <f t="shared" si="3"/>
        <v>-9.5437840359748255E-2</v>
      </c>
      <c r="AN64" s="1">
        <f t="shared" si="4"/>
        <v>1.2071094658382455</v>
      </c>
      <c r="AO64">
        <f t="shared" si="9"/>
        <v>1.059679905671507E-3</v>
      </c>
      <c r="AP64">
        <f t="shared" si="10"/>
        <v>1.0847699580062141E-4</v>
      </c>
      <c r="AQ64" s="26">
        <f t="shared" si="6"/>
        <v>1.0006952334912733</v>
      </c>
      <c r="AR64">
        <f t="shared" si="7"/>
        <v>-8.3781599376060587E-5</v>
      </c>
    </row>
    <row r="65" spans="1:44" x14ac:dyDescent="0.25">
      <c r="A65">
        <v>0</v>
      </c>
      <c r="B65">
        <v>0</v>
      </c>
      <c r="C65">
        <v>0</v>
      </c>
      <c r="D65">
        <v>0</v>
      </c>
      <c r="E65">
        <v>0</v>
      </c>
      <c r="F65">
        <v>0</v>
      </c>
      <c r="G65">
        <v>1</v>
      </c>
      <c r="H65">
        <v>1</v>
      </c>
      <c r="J65">
        <f>(A65*Inputs!$E$2+ABS((A65-1))*(1-Inputs!$E$2))</f>
        <v>0.35</v>
      </c>
      <c r="K65">
        <f>(B65*Inputs!$E$3+ABS((B65-1))*(1-Inputs!$E$3))</f>
        <v>0.35</v>
      </c>
      <c r="L65">
        <f>(C65*Inputs!$E$4+ABS((C65-1))*(1-Inputs!$E$4))</f>
        <v>0.35</v>
      </c>
      <c r="M65">
        <f>(D65*Inputs!$E$5+ABS((D65-1))*(1-Inputs!$E$5))</f>
        <v>0.35</v>
      </c>
      <c r="N65">
        <f>(E65*Inputs!$E$6+ABS((E65-1))*(1-Inputs!$E$6))</f>
        <v>0.4</v>
      </c>
      <c r="O65">
        <f>(F65*Inputs!$E$7+ABS((F65-1))*(1-Inputs!$E$7))</f>
        <v>0.25</v>
      </c>
      <c r="P65">
        <f>(G65*Inputs!$E$8+ABS((G65-1))*(1-Inputs!$E$8))</f>
        <v>0.6</v>
      </c>
      <c r="Q65">
        <f>(H65*Inputs!$E$9+ABS((H65-1))*(1-Inputs!$E$9))</f>
        <v>0.65</v>
      </c>
      <c r="R65">
        <f t="shared" si="2"/>
        <v>5.8524374999999987E-4</v>
      </c>
      <c r="T65">
        <f>Inputs!$I$2*A65*Inputs!$G$2</f>
        <v>0</v>
      </c>
      <c r="U65">
        <f>Inputs!$I$3*B65*Inputs!$G$3</f>
        <v>0</v>
      </c>
      <c r="V65">
        <f>Inputs!$I$4*C65*Inputs!$G$4</f>
        <v>0</v>
      </c>
      <c r="W65">
        <f>Inputs!$I$5*D65*Inputs!$G$5</f>
        <v>0</v>
      </c>
      <c r="X65">
        <f>Inputs!$I$6*E65*Inputs!$G$6</f>
        <v>0</v>
      </c>
      <c r="Y65">
        <f>Inputs!$I$7*F65*Inputs!$G$7</f>
        <v>0</v>
      </c>
      <c r="Z65">
        <f>Inputs!$I$8*G65*Inputs!$G$8</f>
        <v>0.76006970051755651</v>
      </c>
      <c r="AA65">
        <f>Inputs!$I$9*H65*Inputs!$G$9</f>
        <v>0.16590779367943137</v>
      </c>
      <c r="AB65">
        <f t="shared" si="8"/>
        <v>0.92597749419698783</v>
      </c>
      <c r="AD65">
        <f>Inputs!$I$2*ABS(A65-1)*Inputs!$H$2</f>
        <v>3.0082304526748989E-2</v>
      </c>
      <c r="AE65">
        <f>Inputs!$I$3*ABS(B65-1)*Inputs!$H$3</f>
        <v>1.1405796839520112E-2</v>
      </c>
      <c r="AF65">
        <f>Inputs!$I$4*ABS(C65-1)*Inputs!$H$4</f>
        <v>8.9678988679000853E-3</v>
      </c>
      <c r="AG65">
        <f>Inputs!$I$5*ABS(D65-1)*Inputs!$H$5</f>
        <v>3.0032539984442563E-2</v>
      </c>
      <c r="AH65">
        <f>Inputs!$I$6*ABS(E65-1)*Inputs!$H$6</f>
        <v>6.4042485034184693E-2</v>
      </c>
      <c r="AI65">
        <f>Inputs!$I$7*ABS(F65-1)*Inputs!$H$7</f>
        <v>1.49493001411365E-2</v>
      </c>
      <c r="AJ65">
        <f>Inputs!$I$8*ABS(G65-1)*Inputs!$H$8</f>
        <v>0</v>
      </c>
      <c r="AK65">
        <f>Inputs!$I$9*ABS(H65-1)*Inputs!$H$9</f>
        <v>0</v>
      </c>
      <c r="AL65">
        <f t="shared" si="3"/>
        <v>-0.15948032539393292</v>
      </c>
      <c r="AN65" s="1">
        <f t="shared" si="4"/>
        <v>0.76649716880305485</v>
      </c>
      <c r="AO65">
        <f t="shared" si="9"/>
        <v>4.4858767743468275E-4</v>
      </c>
      <c r="AP65">
        <f t="shared" si="10"/>
        <v>3.6722856334628974E-4</v>
      </c>
      <c r="AQ65" s="26">
        <f t="shared" si="6"/>
        <v>1.000333058317298</v>
      </c>
      <c r="AR65">
        <f t="shared" si="7"/>
        <v>-9.3334863684765509E-5</v>
      </c>
    </row>
    <row r="66" spans="1:44" x14ac:dyDescent="0.25">
      <c r="A66">
        <v>1</v>
      </c>
      <c r="B66">
        <v>1</v>
      </c>
      <c r="C66">
        <v>1</v>
      </c>
      <c r="D66">
        <v>1</v>
      </c>
      <c r="E66">
        <v>1</v>
      </c>
      <c r="F66">
        <v>1</v>
      </c>
      <c r="G66">
        <v>0</v>
      </c>
      <c r="H66">
        <v>1</v>
      </c>
      <c r="J66">
        <f>(A66*Inputs!$E$2+ABS((A66-1))*(1-Inputs!$E$2))</f>
        <v>0.65</v>
      </c>
      <c r="K66">
        <f>(B66*Inputs!$E$3+ABS((B66-1))*(1-Inputs!$E$3))</f>
        <v>0.65</v>
      </c>
      <c r="L66">
        <f>(C66*Inputs!$E$4+ABS((C66-1))*(1-Inputs!$E$4))</f>
        <v>0.65</v>
      </c>
      <c r="M66">
        <f>(D66*Inputs!$E$5+ABS((D66-1))*(1-Inputs!$E$5))</f>
        <v>0.65</v>
      </c>
      <c r="N66">
        <f>(E66*Inputs!$E$6+ABS((E66-1))*(1-Inputs!$E$6))</f>
        <v>0.6</v>
      </c>
      <c r="O66">
        <f>(F66*Inputs!$E$7+ABS((F66-1))*(1-Inputs!$E$7))</f>
        <v>0.75</v>
      </c>
      <c r="P66">
        <f>(G66*Inputs!$E$8+ABS((G66-1))*(1-Inputs!$E$8))</f>
        <v>0.4</v>
      </c>
      <c r="Q66">
        <f>(H66*Inputs!$E$9+ABS((H66-1))*(1-Inputs!$E$9))</f>
        <v>0.65</v>
      </c>
      <c r="R66">
        <f t="shared" si="2"/>
        <v>2.0885231250000007E-2</v>
      </c>
      <c r="T66">
        <f>Inputs!$I$2*A66*Inputs!$G$2</f>
        <v>0.52958847736625514</v>
      </c>
      <c r="U66">
        <f>Inputs!$I$3*B66*Inputs!$G$3</f>
        <v>0.20645773829738062</v>
      </c>
      <c r="V66">
        <f>Inputs!$I$4*C66*Inputs!$G$4</f>
        <v>0.1422264291528948</v>
      </c>
      <c r="W66">
        <f>Inputs!$I$5*D66*Inputs!$G$5</f>
        <v>0.20551679322687164</v>
      </c>
      <c r="X66">
        <f>Inputs!$I$6*E66*Inputs!$G$6</f>
        <v>0.37656981200100598</v>
      </c>
      <c r="Y66">
        <f>Inputs!$I$7*F66*Inputs!$G$7</f>
        <v>0.19972733373941395</v>
      </c>
      <c r="Z66">
        <f>Inputs!$I$8*G66*Inputs!$G$8</f>
        <v>0</v>
      </c>
      <c r="AA66">
        <f>Inputs!$I$9*H66*Inputs!$G$9</f>
        <v>0.16590779367943137</v>
      </c>
      <c r="AB66">
        <f t="shared" si="8"/>
        <v>1.8259943774632532</v>
      </c>
      <c r="AD66">
        <f>Inputs!$I$2*ABS(A66-1)*Inputs!$H$2</f>
        <v>0</v>
      </c>
      <c r="AE66">
        <f>Inputs!$I$3*ABS(B66-1)*Inputs!$H$3</f>
        <v>0</v>
      </c>
      <c r="AF66">
        <f>Inputs!$I$4*ABS(C66-1)*Inputs!$H$4</f>
        <v>0</v>
      </c>
      <c r="AG66">
        <f>Inputs!$I$5*ABS(D66-1)*Inputs!$H$5</f>
        <v>0</v>
      </c>
      <c r="AH66">
        <f>Inputs!$I$6*ABS(E66-1)*Inputs!$H$6</f>
        <v>0</v>
      </c>
      <c r="AI66">
        <f>Inputs!$I$7*ABS(F66-1)*Inputs!$H$7</f>
        <v>0</v>
      </c>
      <c r="AJ66">
        <f>Inputs!$I$8*ABS(G66-1)*Inputs!$H$8</f>
        <v>5.8391635937893226E-2</v>
      </c>
      <c r="AK66">
        <f>Inputs!$I$9*ABS(H66-1)*Inputs!$H$9</f>
        <v>0</v>
      </c>
      <c r="AL66">
        <f t="shared" si="3"/>
        <v>-5.8391635937893226E-2</v>
      </c>
      <c r="AN66" s="1">
        <f t="shared" si="4"/>
        <v>1.7676027415253599</v>
      </c>
      <c r="AO66">
        <f t="shared" si="9"/>
        <v>3.6916792014891134E-2</v>
      </c>
      <c r="AP66">
        <f t="shared" si="10"/>
        <v>9.1202084371046883E-4</v>
      </c>
      <c r="AQ66" s="26">
        <f t="shared" si="6"/>
        <v>1.0214883998636075</v>
      </c>
      <c r="AR66">
        <f t="shared" si="7"/>
        <v>-1.219522819628711E-3</v>
      </c>
    </row>
    <row r="67" spans="1:44" x14ac:dyDescent="0.25">
      <c r="A67">
        <v>1</v>
      </c>
      <c r="B67">
        <v>1</v>
      </c>
      <c r="C67">
        <v>1</v>
      </c>
      <c r="D67">
        <v>1</v>
      </c>
      <c r="E67">
        <v>0</v>
      </c>
      <c r="F67">
        <v>1</v>
      </c>
      <c r="G67">
        <v>0</v>
      </c>
      <c r="H67">
        <v>1</v>
      </c>
      <c r="J67">
        <f>(A67*Inputs!$E$2+ABS((A67-1))*(1-Inputs!$E$2))</f>
        <v>0.65</v>
      </c>
      <c r="K67">
        <f>(B67*Inputs!$E$3+ABS((B67-1))*(1-Inputs!$E$3))</f>
        <v>0.65</v>
      </c>
      <c r="L67">
        <f>(C67*Inputs!$E$4+ABS((C67-1))*(1-Inputs!$E$4))</f>
        <v>0.65</v>
      </c>
      <c r="M67">
        <f>(D67*Inputs!$E$5+ABS((D67-1))*(1-Inputs!$E$5))</f>
        <v>0.65</v>
      </c>
      <c r="N67">
        <f>(E67*Inputs!$E$6+ABS((E67-1))*(1-Inputs!$E$6))</f>
        <v>0.4</v>
      </c>
      <c r="O67">
        <f>(F67*Inputs!$E$7+ABS((F67-1))*(1-Inputs!$E$7))</f>
        <v>0.75</v>
      </c>
      <c r="P67">
        <f>(G67*Inputs!$E$8+ABS((G67-1))*(1-Inputs!$E$8))</f>
        <v>0.4</v>
      </c>
      <c r="Q67">
        <f>(H67*Inputs!$E$9+ABS((H67-1))*(1-Inputs!$E$9))</f>
        <v>0.65</v>
      </c>
      <c r="R67">
        <f t="shared" ref="R67:R130" si="11">PRODUCT(J67:Q67)</f>
        <v>1.3923487500000005E-2</v>
      </c>
      <c r="T67">
        <f>Inputs!$I$2*A67*Inputs!$G$2</f>
        <v>0.52958847736625514</v>
      </c>
      <c r="U67">
        <f>Inputs!$I$3*B67*Inputs!$G$3</f>
        <v>0.20645773829738062</v>
      </c>
      <c r="V67">
        <f>Inputs!$I$4*C67*Inputs!$G$4</f>
        <v>0.1422264291528948</v>
      </c>
      <c r="W67">
        <f>Inputs!$I$5*D67*Inputs!$G$5</f>
        <v>0.20551679322687164</v>
      </c>
      <c r="X67">
        <f>Inputs!$I$6*E67*Inputs!$G$6</f>
        <v>0</v>
      </c>
      <c r="Y67">
        <f>Inputs!$I$7*F67*Inputs!$G$7</f>
        <v>0.19972733373941395</v>
      </c>
      <c r="Z67">
        <f>Inputs!$I$8*G67*Inputs!$G$8</f>
        <v>0</v>
      </c>
      <c r="AA67">
        <f>Inputs!$I$9*H67*Inputs!$G$9</f>
        <v>0.16590779367943137</v>
      </c>
      <c r="AB67">
        <f t="shared" si="8"/>
        <v>1.4494245654622473</v>
      </c>
      <c r="AD67">
        <f>Inputs!$I$2*ABS(A67-1)*Inputs!$H$2</f>
        <v>0</v>
      </c>
      <c r="AE67">
        <f>Inputs!$I$3*ABS(B67-1)*Inputs!$H$3</f>
        <v>0</v>
      </c>
      <c r="AF67">
        <f>Inputs!$I$4*ABS(C67-1)*Inputs!$H$4</f>
        <v>0</v>
      </c>
      <c r="AG67">
        <f>Inputs!$I$5*ABS(D67-1)*Inputs!$H$5</f>
        <v>0</v>
      </c>
      <c r="AH67">
        <f>Inputs!$I$6*ABS(E67-1)*Inputs!$H$6</f>
        <v>6.4042485034184693E-2</v>
      </c>
      <c r="AI67">
        <f>Inputs!$I$7*ABS(F67-1)*Inputs!$H$7</f>
        <v>0</v>
      </c>
      <c r="AJ67">
        <f>Inputs!$I$8*ABS(G67-1)*Inputs!$H$8</f>
        <v>5.8391635937893226E-2</v>
      </c>
      <c r="AK67">
        <f>Inputs!$I$9*ABS(H67-1)*Inputs!$H$9</f>
        <v>0</v>
      </c>
      <c r="AL67">
        <f t="shared" ref="AL67:AL130" si="12">-1*SUM(AD67:AK67)</f>
        <v>-0.12243412097207793</v>
      </c>
      <c r="AN67" s="1">
        <f t="shared" ref="AN67:AN130" si="13">AB67+AL67</f>
        <v>1.3269904444901695</v>
      </c>
      <c r="AO67">
        <f t="shared" si="9"/>
        <v>1.8476334866478324E-2</v>
      </c>
      <c r="AP67">
        <f t="shared" si="10"/>
        <v>7.4711237308666602E-4</v>
      </c>
      <c r="AQ67" s="26">
        <f t="shared" ref="AQ67:AQ130" si="14">((1+AN67))^R67</f>
        <v>1.0118288543282319</v>
      </c>
      <c r="AR67">
        <f t="shared" ref="AR67:AR130" si="15">AL67*R67</f>
        <v>-1.7047099529282155E-3</v>
      </c>
    </row>
    <row r="68" spans="1:44" x14ac:dyDescent="0.25">
      <c r="A68">
        <v>1</v>
      </c>
      <c r="B68">
        <v>1</v>
      </c>
      <c r="C68">
        <v>1</v>
      </c>
      <c r="D68">
        <v>0</v>
      </c>
      <c r="E68">
        <v>1</v>
      </c>
      <c r="F68">
        <v>1</v>
      </c>
      <c r="G68">
        <v>0</v>
      </c>
      <c r="H68">
        <v>1</v>
      </c>
      <c r="J68">
        <f>(A68*Inputs!$E$2+ABS((A68-1))*(1-Inputs!$E$2))</f>
        <v>0.65</v>
      </c>
      <c r="K68">
        <f>(B68*Inputs!$E$3+ABS((B68-1))*(1-Inputs!$E$3))</f>
        <v>0.65</v>
      </c>
      <c r="L68">
        <f>(C68*Inputs!$E$4+ABS((C68-1))*(1-Inputs!$E$4))</f>
        <v>0.65</v>
      </c>
      <c r="M68">
        <f>(D68*Inputs!$E$5+ABS((D68-1))*(1-Inputs!$E$5))</f>
        <v>0.35</v>
      </c>
      <c r="N68">
        <f>(E68*Inputs!$E$6+ABS((E68-1))*(1-Inputs!$E$6))</f>
        <v>0.6</v>
      </c>
      <c r="O68">
        <f>(F68*Inputs!$E$7+ABS((F68-1))*(1-Inputs!$E$7))</f>
        <v>0.75</v>
      </c>
      <c r="P68">
        <f>(G68*Inputs!$E$8+ABS((G68-1))*(1-Inputs!$E$8))</f>
        <v>0.4</v>
      </c>
      <c r="Q68">
        <f>(H68*Inputs!$E$9+ABS((H68-1))*(1-Inputs!$E$9))</f>
        <v>0.65</v>
      </c>
      <c r="R68">
        <f t="shared" si="11"/>
        <v>1.1245893750000003E-2</v>
      </c>
      <c r="T68">
        <f>Inputs!$I$2*A68*Inputs!$G$2</f>
        <v>0.52958847736625514</v>
      </c>
      <c r="U68">
        <f>Inputs!$I$3*B68*Inputs!$G$3</f>
        <v>0.20645773829738062</v>
      </c>
      <c r="V68">
        <f>Inputs!$I$4*C68*Inputs!$G$4</f>
        <v>0.1422264291528948</v>
      </c>
      <c r="W68">
        <f>Inputs!$I$5*D68*Inputs!$G$5</f>
        <v>0</v>
      </c>
      <c r="X68">
        <f>Inputs!$I$6*E68*Inputs!$G$6</f>
        <v>0.37656981200100598</v>
      </c>
      <c r="Y68">
        <f>Inputs!$I$7*F68*Inputs!$G$7</f>
        <v>0.19972733373941395</v>
      </c>
      <c r="Z68">
        <f>Inputs!$I$8*G68*Inputs!$G$8</f>
        <v>0</v>
      </c>
      <c r="AA68">
        <f>Inputs!$I$9*H68*Inputs!$G$9</f>
        <v>0.16590779367943137</v>
      </c>
      <c r="AB68">
        <f t="shared" si="8"/>
        <v>1.6204775842363817</v>
      </c>
      <c r="AD68">
        <f>Inputs!$I$2*ABS(A68-1)*Inputs!$H$2</f>
        <v>0</v>
      </c>
      <c r="AE68">
        <f>Inputs!$I$3*ABS(B68-1)*Inputs!$H$3</f>
        <v>0</v>
      </c>
      <c r="AF68">
        <f>Inputs!$I$4*ABS(C68-1)*Inputs!$H$4</f>
        <v>0</v>
      </c>
      <c r="AG68">
        <f>Inputs!$I$5*ABS(D68-1)*Inputs!$H$5</f>
        <v>3.0032539984442563E-2</v>
      </c>
      <c r="AH68">
        <f>Inputs!$I$6*ABS(E68-1)*Inputs!$H$6</f>
        <v>0</v>
      </c>
      <c r="AI68">
        <f>Inputs!$I$7*ABS(F68-1)*Inputs!$H$7</f>
        <v>0</v>
      </c>
      <c r="AJ68">
        <f>Inputs!$I$8*ABS(G68-1)*Inputs!$H$8</f>
        <v>5.8391635937893226E-2</v>
      </c>
      <c r="AK68">
        <f>Inputs!$I$9*ABS(H68-1)*Inputs!$H$9</f>
        <v>0</v>
      </c>
      <c r="AL68">
        <f t="shared" si="12"/>
        <v>-8.8424175922335785E-2</v>
      </c>
      <c r="AN68" s="1">
        <f t="shared" si="13"/>
        <v>1.5320534083140458</v>
      </c>
      <c r="AO68">
        <f t="shared" si="9"/>
        <v>1.7229309849225129E-2</v>
      </c>
      <c r="AP68">
        <f t="shared" si="10"/>
        <v>7.945131416000548E-6</v>
      </c>
      <c r="AQ68" s="26">
        <f t="shared" si="14"/>
        <v>1.0105025480064616</v>
      </c>
      <c r="AR68">
        <f t="shared" si="15"/>
        <v>-9.9440888735389675E-4</v>
      </c>
    </row>
    <row r="69" spans="1:44" x14ac:dyDescent="0.25">
      <c r="A69">
        <v>1</v>
      </c>
      <c r="B69">
        <v>1</v>
      </c>
      <c r="C69">
        <v>1</v>
      </c>
      <c r="D69">
        <v>0</v>
      </c>
      <c r="E69">
        <v>0</v>
      </c>
      <c r="F69">
        <v>1</v>
      </c>
      <c r="G69">
        <v>0</v>
      </c>
      <c r="H69">
        <v>1</v>
      </c>
      <c r="J69">
        <f>(A69*Inputs!$E$2+ABS((A69-1))*(1-Inputs!$E$2))</f>
        <v>0.65</v>
      </c>
      <c r="K69">
        <f>(B69*Inputs!$E$3+ABS((B69-1))*(1-Inputs!$E$3))</f>
        <v>0.65</v>
      </c>
      <c r="L69">
        <f>(C69*Inputs!$E$4+ABS((C69-1))*(1-Inputs!$E$4))</f>
        <v>0.65</v>
      </c>
      <c r="M69">
        <f>(D69*Inputs!$E$5+ABS((D69-1))*(1-Inputs!$E$5))</f>
        <v>0.35</v>
      </c>
      <c r="N69">
        <f>(E69*Inputs!$E$6+ABS((E69-1))*(1-Inputs!$E$6))</f>
        <v>0.4</v>
      </c>
      <c r="O69">
        <f>(F69*Inputs!$E$7+ABS((F69-1))*(1-Inputs!$E$7))</f>
        <v>0.75</v>
      </c>
      <c r="P69">
        <f>(G69*Inputs!$E$8+ABS((G69-1))*(1-Inputs!$E$8))</f>
        <v>0.4</v>
      </c>
      <c r="Q69">
        <f>(H69*Inputs!$E$9+ABS((H69-1))*(1-Inputs!$E$9))</f>
        <v>0.65</v>
      </c>
      <c r="R69">
        <f t="shared" si="11"/>
        <v>7.4972625000000017E-3</v>
      </c>
      <c r="T69">
        <f>Inputs!$I$2*A69*Inputs!$G$2</f>
        <v>0.52958847736625514</v>
      </c>
      <c r="U69">
        <f>Inputs!$I$3*B69*Inputs!$G$3</f>
        <v>0.20645773829738062</v>
      </c>
      <c r="V69">
        <f>Inputs!$I$4*C69*Inputs!$G$4</f>
        <v>0.1422264291528948</v>
      </c>
      <c r="W69">
        <f>Inputs!$I$5*D69*Inputs!$G$5</f>
        <v>0</v>
      </c>
      <c r="X69">
        <f>Inputs!$I$6*E69*Inputs!$G$6</f>
        <v>0</v>
      </c>
      <c r="Y69">
        <f>Inputs!$I$7*F69*Inputs!$G$7</f>
        <v>0.19972733373941395</v>
      </c>
      <c r="Z69">
        <f>Inputs!$I$8*G69*Inputs!$G$8</f>
        <v>0</v>
      </c>
      <c r="AA69">
        <f>Inputs!$I$9*H69*Inputs!$G$9</f>
        <v>0.16590779367943137</v>
      </c>
      <c r="AB69">
        <f t="shared" si="8"/>
        <v>1.2439077722353757</v>
      </c>
      <c r="AD69">
        <f>Inputs!$I$2*ABS(A69-1)*Inputs!$H$2</f>
        <v>0</v>
      </c>
      <c r="AE69">
        <f>Inputs!$I$3*ABS(B69-1)*Inputs!$H$3</f>
        <v>0</v>
      </c>
      <c r="AF69">
        <f>Inputs!$I$4*ABS(C69-1)*Inputs!$H$4</f>
        <v>0</v>
      </c>
      <c r="AG69">
        <f>Inputs!$I$5*ABS(D69-1)*Inputs!$H$5</f>
        <v>3.0032539984442563E-2</v>
      </c>
      <c r="AH69">
        <f>Inputs!$I$6*ABS(E69-1)*Inputs!$H$6</f>
        <v>6.4042485034184693E-2</v>
      </c>
      <c r="AI69">
        <f>Inputs!$I$7*ABS(F69-1)*Inputs!$H$7</f>
        <v>0</v>
      </c>
      <c r="AJ69">
        <f>Inputs!$I$8*ABS(G69-1)*Inputs!$H$8</f>
        <v>5.8391635937893226E-2</v>
      </c>
      <c r="AK69">
        <f>Inputs!$I$9*ABS(H69-1)*Inputs!$H$9</f>
        <v>0</v>
      </c>
      <c r="AL69">
        <f t="shared" si="12"/>
        <v>-0.15246666095652048</v>
      </c>
      <c r="AN69" s="1">
        <f t="shared" si="13"/>
        <v>1.0914411112788553</v>
      </c>
      <c r="AO69">
        <f t="shared" si="9"/>
        <v>8.1828205145492907E-3</v>
      </c>
      <c r="AP69">
        <f t="shared" si="10"/>
        <v>1.6364166979392573E-3</v>
      </c>
      <c r="AQ69" s="26">
        <f t="shared" si="14"/>
        <v>1.0055472093941109</v>
      </c>
      <c r="AR69">
        <f t="shared" si="15"/>
        <v>-1.1430825796895354E-3</v>
      </c>
    </row>
    <row r="70" spans="1:44" x14ac:dyDescent="0.25">
      <c r="A70">
        <v>1</v>
      </c>
      <c r="B70">
        <v>1</v>
      </c>
      <c r="C70">
        <v>0</v>
      </c>
      <c r="D70">
        <v>1</v>
      </c>
      <c r="E70">
        <v>1</v>
      </c>
      <c r="F70">
        <v>1</v>
      </c>
      <c r="G70">
        <v>0</v>
      </c>
      <c r="H70">
        <v>1</v>
      </c>
      <c r="J70">
        <f>(A70*Inputs!$E$2+ABS((A70-1))*(1-Inputs!$E$2))</f>
        <v>0.65</v>
      </c>
      <c r="K70">
        <f>(B70*Inputs!$E$3+ABS((B70-1))*(1-Inputs!$E$3))</f>
        <v>0.65</v>
      </c>
      <c r="L70">
        <f>(C70*Inputs!$E$4+ABS((C70-1))*(1-Inputs!$E$4))</f>
        <v>0.35</v>
      </c>
      <c r="M70">
        <f>(D70*Inputs!$E$5+ABS((D70-1))*(1-Inputs!$E$5))</f>
        <v>0.65</v>
      </c>
      <c r="N70">
        <f>(E70*Inputs!$E$6+ABS((E70-1))*(1-Inputs!$E$6))</f>
        <v>0.6</v>
      </c>
      <c r="O70">
        <f>(F70*Inputs!$E$7+ABS((F70-1))*(1-Inputs!$E$7))</f>
        <v>0.75</v>
      </c>
      <c r="P70">
        <f>(G70*Inputs!$E$8+ABS((G70-1))*(1-Inputs!$E$8))</f>
        <v>0.4</v>
      </c>
      <c r="Q70">
        <f>(H70*Inputs!$E$9+ABS((H70-1))*(1-Inputs!$E$9))</f>
        <v>0.65</v>
      </c>
      <c r="R70">
        <f t="shared" si="11"/>
        <v>1.1245893750000001E-2</v>
      </c>
      <c r="T70">
        <f>Inputs!$I$2*A70*Inputs!$G$2</f>
        <v>0.52958847736625514</v>
      </c>
      <c r="U70">
        <f>Inputs!$I$3*B70*Inputs!$G$3</f>
        <v>0.20645773829738062</v>
      </c>
      <c r="V70">
        <f>Inputs!$I$4*C70*Inputs!$G$4</f>
        <v>0</v>
      </c>
      <c r="W70">
        <f>Inputs!$I$5*D70*Inputs!$G$5</f>
        <v>0.20551679322687164</v>
      </c>
      <c r="X70">
        <f>Inputs!$I$6*E70*Inputs!$G$6</f>
        <v>0.37656981200100598</v>
      </c>
      <c r="Y70">
        <f>Inputs!$I$7*F70*Inputs!$G$7</f>
        <v>0.19972733373941395</v>
      </c>
      <c r="Z70">
        <f>Inputs!$I$8*G70*Inputs!$G$8</f>
        <v>0</v>
      </c>
      <c r="AA70">
        <f>Inputs!$I$9*H70*Inputs!$G$9</f>
        <v>0.16590779367943137</v>
      </c>
      <c r="AB70">
        <f t="shared" si="8"/>
        <v>1.6837679483103587</v>
      </c>
      <c r="AD70">
        <f>Inputs!$I$2*ABS(A70-1)*Inputs!$H$2</f>
        <v>0</v>
      </c>
      <c r="AE70">
        <f>Inputs!$I$3*ABS(B70-1)*Inputs!$H$3</f>
        <v>0</v>
      </c>
      <c r="AF70">
        <f>Inputs!$I$4*ABS(C70-1)*Inputs!$H$4</f>
        <v>8.9678988679000853E-3</v>
      </c>
      <c r="AG70">
        <f>Inputs!$I$5*ABS(D70-1)*Inputs!$H$5</f>
        <v>0</v>
      </c>
      <c r="AH70">
        <f>Inputs!$I$6*ABS(E70-1)*Inputs!$H$6</f>
        <v>0</v>
      </c>
      <c r="AI70">
        <f>Inputs!$I$7*ABS(F70-1)*Inputs!$H$7</f>
        <v>0</v>
      </c>
      <c r="AJ70">
        <f>Inputs!$I$8*ABS(G70-1)*Inputs!$H$8</f>
        <v>5.8391635937893226E-2</v>
      </c>
      <c r="AK70">
        <f>Inputs!$I$9*ABS(H70-1)*Inputs!$H$9</f>
        <v>0</v>
      </c>
      <c r="AL70">
        <f t="shared" si="12"/>
        <v>-6.7359534805793306E-2</v>
      </c>
      <c r="AN70" s="1">
        <f t="shared" si="13"/>
        <v>1.6164084135045653</v>
      </c>
      <c r="AO70">
        <f t="shared" si="9"/>
        <v>1.817795727487841E-2</v>
      </c>
      <c r="AP70">
        <f t="shared" si="10"/>
        <v>3.7538357917328898E-5</v>
      </c>
      <c r="AQ70" s="26">
        <f t="shared" si="14"/>
        <v>1.0108750371706117</v>
      </c>
      <c r="AR70">
        <f t="shared" si="15"/>
        <v>-7.5751817147537849E-4</v>
      </c>
    </row>
    <row r="71" spans="1:44" x14ac:dyDescent="0.25">
      <c r="A71">
        <v>1</v>
      </c>
      <c r="B71">
        <v>1</v>
      </c>
      <c r="C71">
        <v>0</v>
      </c>
      <c r="D71">
        <v>1</v>
      </c>
      <c r="E71">
        <v>0</v>
      </c>
      <c r="F71">
        <v>1</v>
      </c>
      <c r="G71">
        <v>0</v>
      </c>
      <c r="H71">
        <v>1</v>
      </c>
      <c r="J71">
        <f>(A71*Inputs!$E$2+ABS((A71-1))*(1-Inputs!$E$2))</f>
        <v>0.65</v>
      </c>
      <c r="K71">
        <f>(B71*Inputs!$E$3+ABS((B71-1))*(1-Inputs!$E$3))</f>
        <v>0.65</v>
      </c>
      <c r="L71">
        <f>(C71*Inputs!$E$4+ABS((C71-1))*(1-Inputs!$E$4))</f>
        <v>0.35</v>
      </c>
      <c r="M71">
        <f>(D71*Inputs!$E$5+ABS((D71-1))*(1-Inputs!$E$5))</f>
        <v>0.65</v>
      </c>
      <c r="N71">
        <f>(E71*Inputs!$E$6+ABS((E71-1))*(1-Inputs!$E$6))</f>
        <v>0.4</v>
      </c>
      <c r="O71">
        <f>(F71*Inputs!$E$7+ABS((F71-1))*(1-Inputs!$E$7))</f>
        <v>0.75</v>
      </c>
      <c r="P71">
        <f>(G71*Inputs!$E$8+ABS((G71-1))*(1-Inputs!$E$8))</f>
        <v>0.4</v>
      </c>
      <c r="Q71">
        <f>(H71*Inputs!$E$9+ABS((H71-1))*(1-Inputs!$E$9))</f>
        <v>0.65</v>
      </c>
      <c r="R71">
        <f t="shared" si="11"/>
        <v>7.4972625000000017E-3</v>
      </c>
      <c r="T71">
        <f>Inputs!$I$2*A71*Inputs!$G$2</f>
        <v>0.52958847736625514</v>
      </c>
      <c r="U71">
        <f>Inputs!$I$3*B71*Inputs!$G$3</f>
        <v>0.20645773829738062</v>
      </c>
      <c r="V71">
        <f>Inputs!$I$4*C71*Inputs!$G$4</f>
        <v>0</v>
      </c>
      <c r="W71">
        <f>Inputs!$I$5*D71*Inputs!$G$5</f>
        <v>0.20551679322687164</v>
      </c>
      <c r="X71">
        <f>Inputs!$I$6*E71*Inputs!$G$6</f>
        <v>0</v>
      </c>
      <c r="Y71">
        <f>Inputs!$I$7*F71*Inputs!$G$7</f>
        <v>0.19972733373941395</v>
      </c>
      <c r="Z71">
        <f>Inputs!$I$8*G71*Inputs!$G$8</f>
        <v>0</v>
      </c>
      <c r="AA71">
        <f>Inputs!$I$9*H71*Inputs!$G$9</f>
        <v>0.16590779367943137</v>
      </c>
      <c r="AB71">
        <f t="shared" si="8"/>
        <v>1.3071981363093528</v>
      </c>
      <c r="AD71">
        <f>Inputs!$I$2*ABS(A71-1)*Inputs!$H$2</f>
        <v>0</v>
      </c>
      <c r="AE71">
        <f>Inputs!$I$3*ABS(B71-1)*Inputs!$H$3</f>
        <v>0</v>
      </c>
      <c r="AF71">
        <f>Inputs!$I$4*ABS(C71-1)*Inputs!$H$4</f>
        <v>8.9678988679000853E-3</v>
      </c>
      <c r="AG71">
        <f>Inputs!$I$5*ABS(D71-1)*Inputs!$H$5</f>
        <v>0</v>
      </c>
      <c r="AH71">
        <f>Inputs!$I$6*ABS(E71-1)*Inputs!$H$6</f>
        <v>6.4042485034184693E-2</v>
      </c>
      <c r="AI71">
        <f>Inputs!$I$7*ABS(F71-1)*Inputs!$H$7</f>
        <v>0</v>
      </c>
      <c r="AJ71">
        <f>Inputs!$I$8*ABS(G71-1)*Inputs!$H$8</f>
        <v>5.8391635937893226E-2</v>
      </c>
      <c r="AK71">
        <f>Inputs!$I$9*ABS(H71-1)*Inputs!$H$9</f>
        <v>0</v>
      </c>
      <c r="AL71">
        <f t="shared" si="12"/>
        <v>-0.13140201983997801</v>
      </c>
      <c r="AN71" s="1">
        <f t="shared" si="13"/>
        <v>1.1757961164693747</v>
      </c>
      <c r="AO71">
        <f t="shared" si="9"/>
        <v>8.815252131651477E-3</v>
      </c>
      <c r="AP71">
        <f t="shared" si="10"/>
        <v>1.0988312205486609E-3</v>
      </c>
      <c r="AQ71" s="26">
        <f t="shared" si="14"/>
        <v>1.0058453493634205</v>
      </c>
      <c r="AR71">
        <f t="shared" si="15"/>
        <v>-9.8515543577052333E-4</v>
      </c>
    </row>
    <row r="72" spans="1:44" x14ac:dyDescent="0.25">
      <c r="A72">
        <v>1</v>
      </c>
      <c r="B72">
        <v>1</v>
      </c>
      <c r="C72">
        <v>0</v>
      </c>
      <c r="D72">
        <v>0</v>
      </c>
      <c r="E72">
        <v>1</v>
      </c>
      <c r="F72">
        <v>1</v>
      </c>
      <c r="G72">
        <v>0</v>
      </c>
      <c r="H72">
        <v>1</v>
      </c>
      <c r="J72">
        <f>(A72*Inputs!$E$2+ABS((A72-1))*(1-Inputs!$E$2))</f>
        <v>0.65</v>
      </c>
      <c r="K72">
        <f>(B72*Inputs!$E$3+ABS((B72-1))*(1-Inputs!$E$3))</f>
        <v>0.65</v>
      </c>
      <c r="L72">
        <f>(C72*Inputs!$E$4+ABS((C72-1))*(1-Inputs!$E$4))</f>
        <v>0.35</v>
      </c>
      <c r="M72">
        <f>(D72*Inputs!$E$5+ABS((D72-1))*(1-Inputs!$E$5))</f>
        <v>0.35</v>
      </c>
      <c r="N72">
        <f>(E72*Inputs!$E$6+ABS((E72-1))*(1-Inputs!$E$6))</f>
        <v>0.6</v>
      </c>
      <c r="O72">
        <f>(F72*Inputs!$E$7+ABS((F72-1))*(1-Inputs!$E$7))</f>
        <v>0.75</v>
      </c>
      <c r="P72">
        <f>(G72*Inputs!$E$8+ABS((G72-1))*(1-Inputs!$E$8))</f>
        <v>0.4</v>
      </c>
      <c r="Q72">
        <f>(H72*Inputs!$E$9+ABS((H72-1))*(1-Inputs!$E$9))</f>
        <v>0.65</v>
      </c>
      <c r="R72">
        <f t="shared" si="11"/>
        <v>6.0554812500000004E-3</v>
      </c>
      <c r="T72">
        <f>Inputs!$I$2*A72*Inputs!$G$2</f>
        <v>0.52958847736625514</v>
      </c>
      <c r="U72">
        <f>Inputs!$I$3*B72*Inputs!$G$3</f>
        <v>0.20645773829738062</v>
      </c>
      <c r="V72">
        <f>Inputs!$I$4*C72*Inputs!$G$4</f>
        <v>0</v>
      </c>
      <c r="W72">
        <f>Inputs!$I$5*D72*Inputs!$G$5</f>
        <v>0</v>
      </c>
      <c r="X72">
        <f>Inputs!$I$6*E72*Inputs!$G$6</f>
        <v>0.37656981200100598</v>
      </c>
      <c r="Y72">
        <f>Inputs!$I$7*F72*Inputs!$G$7</f>
        <v>0.19972733373941395</v>
      </c>
      <c r="Z72">
        <f>Inputs!$I$8*G72*Inputs!$G$8</f>
        <v>0</v>
      </c>
      <c r="AA72">
        <f>Inputs!$I$9*H72*Inputs!$G$9</f>
        <v>0.16590779367943137</v>
      </c>
      <c r="AB72">
        <f t="shared" si="8"/>
        <v>1.4782511550834869</v>
      </c>
      <c r="AD72">
        <f>Inputs!$I$2*ABS(A72-1)*Inputs!$H$2</f>
        <v>0</v>
      </c>
      <c r="AE72">
        <f>Inputs!$I$3*ABS(B72-1)*Inputs!$H$3</f>
        <v>0</v>
      </c>
      <c r="AF72">
        <f>Inputs!$I$4*ABS(C72-1)*Inputs!$H$4</f>
        <v>8.9678988679000853E-3</v>
      </c>
      <c r="AG72">
        <f>Inputs!$I$5*ABS(D72-1)*Inputs!$H$5</f>
        <v>3.0032539984442563E-2</v>
      </c>
      <c r="AH72">
        <f>Inputs!$I$6*ABS(E72-1)*Inputs!$H$6</f>
        <v>0</v>
      </c>
      <c r="AI72">
        <f>Inputs!$I$7*ABS(F72-1)*Inputs!$H$7</f>
        <v>0</v>
      </c>
      <c r="AJ72">
        <f>Inputs!$I$8*ABS(G72-1)*Inputs!$H$8</f>
        <v>5.8391635937893226E-2</v>
      </c>
      <c r="AK72">
        <f>Inputs!$I$9*ABS(H72-1)*Inputs!$H$9</f>
        <v>0</v>
      </c>
      <c r="AL72">
        <f t="shared" si="12"/>
        <v>-9.7392074790235872E-2</v>
      </c>
      <c r="AN72" s="1">
        <f t="shared" si="13"/>
        <v>1.380859080293251</v>
      </c>
      <c r="AO72">
        <f t="shared" si="9"/>
        <v>8.3617662696080265E-3</v>
      </c>
      <c r="AP72">
        <f t="shared" si="10"/>
        <v>1.9137549625805755E-4</v>
      </c>
      <c r="AQ72" s="26">
        <f t="shared" si="14"/>
        <v>1.0052667167734186</v>
      </c>
      <c r="AR72">
        <f t="shared" si="15"/>
        <v>-5.8975588279087108E-4</v>
      </c>
    </row>
    <row r="73" spans="1:44" x14ac:dyDescent="0.25">
      <c r="A73">
        <v>1</v>
      </c>
      <c r="B73">
        <v>1</v>
      </c>
      <c r="C73">
        <v>0</v>
      </c>
      <c r="D73">
        <v>0</v>
      </c>
      <c r="E73">
        <v>0</v>
      </c>
      <c r="F73">
        <v>1</v>
      </c>
      <c r="G73">
        <v>0</v>
      </c>
      <c r="H73">
        <v>1</v>
      </c>
      <c r="J73">
        <f>(A73*Inputs!$E$2+ABS((A73-1))*(1-Inputs!$E$2))</f>
        <v>0.65</v>
      </c>
      <c r="K73">
        <f>(B73*Inputs!$E$3+ABS((B73-1))*(1-Inputs!$E$3))</f>
        <v>0.65</v>
      </c>
      <c r="L73">
        <f>(C73*Inputs!$E$4+ABS((C73-1))*(1-Inputs!$E$4))</f>
        <v>0.35</v>
      </c>
      <c r="M73">
        <f>(D73*Inputs!$E$5+ABS((D73-1))*(1-Inputs!$E$5))</f>
        <v>0.35</v>
      </c>
      <c r="N73">
        <f>(E73*Inputs!$E$6+ABS((E73-1))*(1-Inputs!$E$6))</f>
        <v>0.4</v>
      </c>
      <c r="O73">
        <f>(F73*Inputs!$E$7+ABS((F73-1))*(1-Inputs!$E$7))</f>
        <v>0.75</v>
      </c>
      <c r="P73">
        <f>(G73*Inputs!$E$8+ABS((G73-1))*(1-Inputs!$E$8))</f>
        <v>0.4</v>
      </c>
      <c r="Q73">
        <f>(H73*Inputs!$E$9+ABS((H73-1))*(1-Inputs!$E$9))</f>
        <v>0.65</v>
      </c>
      <c r="R73">
        <f t="shared" si="11"/>
        <v>4.0369875000000003E-3</v>
      </c>
      <c r="T73">
        <f>Inputs!$I$2*A73*Inputs!$G$2</f>
        <v>0.52958847736625514</v>
      </c>
      <c r="U73">
        <f>Inputs!$I$3*B73*Inputs!$G$3</f>
        <v>0.20645773829738062</v>
      </c>
      <c r="V73">
        <f>Inputs!$I$4*C73*Inputs!$G$4</f>
        <v>0</v>
      </c>
      <c r="W73">
        <f>Inputs!$I$5*D73*Inputs!$G$5</f>
        <v>0</v>
      </c>
      <c r="X73">
        <f>Inputs!$I$6*E73*Inputs!$G$6</f>
        <v>0</v>
      </c>
      <c r="Y73">
        <f>Inputs!$I$7*F73*Inputs!$G$7</f>
        <v>0.19972733373941395</v>
      </c>
      <c r="Z73">
        <f>Inputs!$I$8*G73*Inputs!$G$8</f>
        <v>0</v>
      </c>
      <c r="AA73">
        <f>Inputs!$I$9*H73*Inputs!$G$9</f>
        <v>0.16590779367943137</v>
      </c>
      <c r="AB73">
        <f t="shared" si="8"/>
        <v>1.1016813430824812</v>
      </c>
      <c r="AD73">
        <f>Inputs!$I$2*ABS(A73-1)*Inputs!$H$2</f>
        <v>0</v>
      </c>
      <c r="AE73">
        <f>Inputs!$I$3*ABS(B73-1)*Inputs!$H$3</f>
        <v>0</v>
      </c>
      <c r="AF73">
        <f>Inputs!$I$4*ABS(C73-1)*Inputs!$H$4</f>
        <v>8.9678988679000853E-3</v>
      </c>
      <c r="AG73">
        <f>Inputs!$I$5*ABS(D73-1)*Inputs!$H$5</f>
        <v>3.0032539984442563E-2</v>
      </c>
      <c r="AH73">
        <f>Inputs!$I$6*ABS(E73-1)*Inputs!$H$6</f>
        <v>6.4042485034184693E-2</v>
      </c>
      <c r="AI73">
        <f>Inputs!$I$7*ABS(F73-1)*Inputs!$H$7</f>
        <v>0</v>
      </c>
      <c r="AJ73">
        <f>Inputs!$I$8*ABS(G73-1)*Inputs!$H$8</f>
        <v>5.8391635937893226E-2</v>
      </c>
      <c r="AK73">
        <f>Inputs!$I$9*ABS(H73-1)*Inputs!$H$9</f>
        <v>0</v>
      </c>
      <c r="AL73">
        <f t="shared" si="12"/>
        <v>-0.16143455982442056</v>
      </c>
      <c r="AN73" s="1">
        <f t="shared" si="13"/>
        <v>0.94024678325806066</v>
      </c>
      <c r="AO73">
        <f t="shared" si="9"/>
        <v>3.7957645109280005E-3</v>
      </c>
      <c r="AP73">
        <f t="shared" si="10"/>
        <v>1.5437517322754335E-3</v>
      </c>
      <c r="AQ73" s="26">
        <f t="shared" si="14"/>
        <v>1.002679359652858</v>
      </c>
      <c r="AR73">
        <f t="shared" si="15"/>
        <v>-6.5170930007918805E-4</v>
      </c>
    </row>
    <row r="74" spans="1:44" x14ac:dyDescent="0.25">
      <c r="A74">
        <v>1</v>
      </c>
      <c r="B74">
        <v>0</v>
      </c>
      <c r="C74">
        <v>1</v>
      </c>
      <c r="D74">
        <v>1</v>
      </c>
      <c r="E74">
        <v>1</v>
      </c>
      <c r="F74">
        <v>1</v>
      </c>
      <c r="G74">
        <v>0</v>
      </c>
      <c r="H74">
        <v>1</v>
      </c>
      <c r="J74">
        <f>(A74*Inputs!$E$2+ABS((A74-1))*(1-Inputs!$E$2))</f>
        <v>0.65</v>
      </c>
      <c r="K74">
        <f>(B74*Inputs!$E$3+ABS((B74-1))*(1-Inputs!$E$3))</f>
        <v>0.35</v>
      </c>
      <c r="L74">
        <f>(C74*Inputs!$E$4+ABS((C74-1))*(1-Inputs!$E$4))</f>
        <v>0.65</v>
      </c>
      <c r="M74">
        <f>(D74*Inputs!$E$5+ABS((D74-1))*(1-Inputs!$E$5))</f>
        <v>0.65</v>
      </c>
      <c r="N74">
        <f>(E74*Inputs!$E$6+ABS((E74-1))*(1-Inputs!$E$6))</f>
        <v>0.6</v>
      </c>
      <c r="O74">
        <f>(F74*Inputs!$E$7+ABS((F74-1))*(1-Inputs!$E$7))</f>
        <v>0.75</v>
      </c>
      <c r="P74">
        <f>(G74*Inputs!$E$8+ABS((G74-1))*(1-Inputs!$E$8))</f>
        <v>0.4</v>
      </c>
      <c r="Q74">
        <f>(H74*Inputs!$E$9+ABS((H74-1))*(1-Inputs!$E$9))</f>
        <v>0.65</v>
      </c>
      <c r="R74">
        <f t="shared" si="11"/>
        <v>1.1245893749999999E-2</v>
      </c>
      <c r="T74">
        <f>Inputs!$I$2*A74*Inputs!$G$2</f>
        <v>0.52958847736625514</v>
      </c>
      <c r="U74">
        <f>Inputs!$I$3*B74*Inputs!$G$3</f>
        <v>0</v>
      </c>
      <c r="V74">
        <f>Inputs!$I$4*C74*Inputs!$G$4</f>
        <v>0.1422264291528948</v>
      </c>
      <c r="W74">
        <f>Inputs!$I$5*D74*Inputs!$G$5</f>
        <v>0.20551679322687164</v>
      </c>
      <c r="X74">
        <f>Inputs!$I$6*E74*Inputs!$G$6</f>
        <v>0.37656981200100598</v>
      </c>
      <c r="Y74">
        <f>Inputs!$I$7*F74*Inputs!$G$7</f>
        <v>0.19972733373941395</v>
      </c>
      <c r="Z74">
        <f>Inputs!$I$8*G74*Inputs!$G$8</f>
        <v>0</v>
      </c>
      <c r="AA74">
        <f>Inputs!$I$9*H74*Inputs!$G$9</f>
        <v>0.16590779367943137</v>
      </c>
      <c r="AB74">
        <f t="shared" si="8"/>
        <v>1.6195366391658728</v>
      </c>
      <c r="AD74">
        <f>Inputs!$I$2*ABS(A74-1)*Inputs!$H$2</f>
        <v>0</v>
      </c>
      <c r="AE74">
        <f>Inputs!$I$3*ABS(B74-1)*Inputs!$H$3</f>
        <v>1.1405796839520112E-2</v>
      </c>
      <c r="AF74">
        <f>Inputs!$I$4*ABS(C74-1)*Inputs!$H$4</f>
        <v>0</v>
      </c>
      <c r="AG74">
        <f>Inputs!$I$5*ABS(D74-1)*Inputs!$H$5</f>
        <v>0</v>
      </c>
      <c r="AH74">
        <f>Inputs!$I$6*ABS(E74-1)*Inputs!$H$6</f>
        <v>0</v>
      </c>
      <c r="AI74">
        <f>Inputs!$I$7*ABS(F74-1)*Inputs!$H$7</f>
        <v>0</v>
      </c>
      <c r="AJ74">
        <f>Inputs!$I$8*ABS(G74-1)*Inputs!$H$8</f>
        <v>5.8391635937893226E-2</v>
      </c>
      <c r="AK74">
        <f>Inputs!$I$9*ABS(H74-1)*Inputs!$H$9</f>
        <v>0</v>
      </c>
      <c r="AL74">
        <f t="shared" si="12"/>
        <v>-6.9797432777413335E-2</v>
      </c>
      <c r="AN74" s="1">
        <f t="shared" si="13"/>
        <v>1.5497392063884594</v>
      </c>
      <c r="AO74">
        <f t="shared" si="9"/>
        <v>1.7428202455253936E-2</v>
      </c>
      <c r="AP74">
        <f t="shared" si="10"/>
        <v>8.8960957010254224E-7</v>
      </c>
      <c r="AQ74" s="26">
        <f t="shared" si="14"/>
        <v>1.0105816500785778</v>
      </c>
      <c r="AR74">
        <f t="shared" si="15"/>
        <v>-7.8493451303755768E-4</v>
      </c>
    </row>
    <row r="75" spans="1:44" x14ac:dyDescent="0.25">
      <c r="A75">
        <v>1</v>
      </c>
      <c r="B75">
        <v>0</v>
      </c>
      <c r="C75">
        <v>1</v>
      </c>
      <c r="D75">
        <v>1</v>
      </c>
      <c r="E75">
        <v>0</v>
      </c>
      <c r="F75">
        <v>1</v>
      </c>
      <c r="G75">
        <v>0</v>
      </c>
      <c r="H75">
        <v>1</v>
      </c>
      <c r="J75">
        <f>(A75*Inputs!$E$2+ABS((A75-1))*(1-Inputs!$E$2))</f>
        <v>0.65</v>
      </c>
      <c r="K75">
        <f>(B75*Inputs!$E$3+ABS((B75-1))*(1-Inputs!$E$3))</f>
        <v>0.35</v>
      </c>
      <c r="L75">
        <f>(C75*Inputs!$E$4+ABS((C75-1))*(1-Inputs!$E$4))</f>
        <v>0.65</v>
      </c>
      <c r="M75">
        <f>(D75*Inputs!$E$5+ABS((D75-1))*(1-Inputs!$E$5))</f>
        <v>0.65</v>
      </c>
      <c r="N75">
        <f>(E75*Inputs!$E$6+ABS((E75-1))*(1-Inputs!$E$6))</f>
        <v>0.4</v>
      </c>
      <c r="O75">
        <f>(F75*Inputs!$E$7+ABS((F75-1))*(1-Inputs!$E$7))</f>
        <v>0.75</v>
      </c>
      <c r="P75">
        <f>(G75*Inputs!$E$8+ABS((G75-1))*(1-Inputs!$E$8))</f>
        <v>0.4</v>
      </c>
      <c r="Q75">
        <f>(H75*Inputs!$E$9+ABS((H75-1))*(1-Inputs!$E$9))</f>
        <v>0.65</v>
      </c>
      <c r="R75">
        <f t="shared" si="11"/>
        <v>7.4972624999999999E-3</v>
      </c>
      <c r="T75">
        <f>Inputs!$I$2*A75*Inputs!$G$2</f>
        <v>0.52958847736625514</v>
      </c>
      <c r="U75">
        <f>Inputs!$I$3*B75*Inputs!$G$3</f>
        <v>0</v>
      </c>
      <c r="V75">
        <f>Inputs!$I$4*C75*Inputs!$G$4</f>
        <v>0.1422264291528948</v>
      </c>
      <c r="W75">
        <f>Inputs!$I$5*D75*Inputs!$G$5</f>
        <v>0.20551679322687164</v>
      </c>
      <c r="X75">
        <f>Inputs!$I$6*E75*Inputs!$G$6</f>
        <v>0</v>
      </c>
      <c r="Y75">
        <f>Inputs!$I$7*F75*Inputs!$G$7</f>
        <v>0.19972733373941395</v>
      </c>
      <c r="Z75">
        <f>Inputs!$I$8*G75*Inputs!$G$8</f>
        <v>0</v>
      </c>
      <c r="AA75">
        <f>Inputs!$I$9*H75*Inputs!$G$9</f>
        <v>0.16590779367943137</v>
      </c>
      <c r="AB75">
        <f t="shared" si="8"/>
        <v>1.2429668271648668</v>
      </c>
      <c r="AD75">
        <f>Inputs!$I$2*ABS(A75-1)*Inputs!$H$2</f>
        <v>0</v>
      </c>
      <c r="AE75">
        <f>Inputs!$I$3*ABS(B75-1)*Inputs!$H$3</f>
        <v>1.1405796839520112E-2</v>
      </c>
      <c r="AF75">
        <f>Inputs!$I$4*ABS(C75-1)*Inputs!$H$4</f>
        <v>0</v>
      </c>
      <c r="AG75">
        <f>Inputs!$I$5*ABS(D75-1)*Inputs!$H$5</f>
        <v>0</v>
      </c>
      <c r="AH75">
        <f>Inputs!$I$6*ABS(E75-1)*Inputs!$H$6</f>
        <v>6.4042485034184693E-2</v>
      </c>
      <c r="AI75">
        <f>Inputs!$I$7*ABS(F75-1)*Inputs!$H$7</f>
        <v>0</v>
      </c>
      <c r="AJ75">
        <f>Inputs!$I$8*ABS(G75-1)*Inputs!$H$8</f>
        <v>5.8391635937893226E-2</v>
      </c>
      <c r="AK75">
        <f>Inputs!$I$9*ABS(H75-1)*Inputs!$H$9</f>
        <v>0</v>
      </c>
      <c r="AL75">
        <f t="shared" si="12"/>
        <v>-0.13383991781159804</v>
      </c>
      <c r="AN75" s="1">
        <f t="shared" si="13"/>
        <v>1.1091269093532687</v>
      </c>
      <c r="AO75">
        <f t="shared" si="9"/>
        <v>8.3154155852351603E-3</v>
      </c>
      <c r="AP75">
        <f t="shared" si="10"/>
        <v>1.5148669793677674E-3</v>
      </c>
      <c r="AQ75" s="26">
        <f t="shared" si="14"/>
        <v>1.005610693951132</v>
      </c>
      <c r="AR75">
        <f t="shared" si="15"/>
        <v>-1.0034329968119761E-3</v>
      </c>
    </row>
    <row r="76" spans="1:44" x14ac:dyDescent="0.25">
      <c r="A76">
        <v>1</v>
      </c>
      <c r="B76">
        <v>0</v>
      </c>
      <c r="C76">
        <v>1</v>
      </c>
      <c r="D76">
        <v>0</v>
      </c>
      <c r="E76">
        <v>1</v>
      </c>
      <c r="F76">
        <v>1</v>
      </c>
      <c r="G76">
        <v>0</v>
      </c>
      <c r="H76">
        <v>1</v>
      </c>
      <c r="J76">
        <f>(A76*Inputs!$E$2+ABS((A76-1))*(1-Inputs!$E$2))</f>
        <v>0.65</v>
      </c>
      <c r="K76">
        <f>(B76*Inputs!$E$3+ABS((B76-1))*(1-Inputs!$E$3))</f>
        <v>0.35</v>
      </c>
      <c r="L76">
        <f>(C76*Inputs!$E$4+ABS((C76-1))*(1-Inputs!$E$4))</f>
        <v>0.65</v>
      </c>
      <c r="M76">
        <f>(D76*Inputs!$E$5+ABS((D76-1))*(1-Inputs!$E$5))</f>
        <v>0.35</v>
      </c>
      <c r="N76">
        <f>(E76*Inputs!$E$6+ABS((E76-1))*(1-Inputs!$E$6))</f>
        <v>0.6</v>
      </c>
      <c r="O76">
        <f>(F76*Inputs!$E$7+ABS((F76-1))*(1-Inputs!$E$7))</f>
        <v>0.75</v>
      </c>
      <c r="P76">
        <f>(G76*Inputs!$E$8+ABS((G76-1))*(1-Inputs!$E$8))</f>
        <v>0.4</v>
      </c>
      <c r="Q76">
        <f>(H76*Inputs!$E$9+ABS((H76-1))*(1-Inputs!$E$9))</f>
        <v>0.65</v>
      </c>
      <c r="R76">
        <f t="shared" si="11"/>
        <v>6.0554812499999987E-3</v>
      </c>
      <c r="T76">
        <f>Inputs!$I$2*A76*Inputs!$G$2</f>
        <v>0.52958847736625514</v>
      </c>
      <c r="U76">
        <f>Inputs!$I$3*B76*Inputs!$G$3</f>
        <v>0</v>
      </c>
      <c r="V76">
        <f>Inputs!$I$4*C76*Inputs!$G$4</f>
        <v>0.1422264291528948</v>
      </c>
      <c r="W76">
        <f>Inputs!$I$5*D76*Inputs!$G$5</f>
        <v>0</v>
      </c>
      <c r="X76">
        <f>Inputs!$I$6*E76*Inputs!$G$6</f>
        <v>0.37656981200100598</v>
      </c>
      <c r="Y76">
        <f>Inputs!$I$7*F76*Inputs!$G$7</f>
        <v>0.19972733373941395</v>
      </c>
      <c r="Z76">
        <f>Inputs!$I$8*G76*Inputs!$G$8</f>
        <v>0</v>
      </c>
      <c r="AA76">
        <f>Inputs!$I$9*H76*Inputs!$G$9</f>
        <v>0.16590779367943137</v>
      </c>
      <c r="AB76">
        <f t="shared" si="8"/>
        <v>1.414019845939001</v>
      </c>
      <c r="AD76">
        <f>Inputs!$I$2*ABS(A76-1)*Inputs!$H$2</f>
        <v>0</v>
      </c>
      <c r="AE76">
        <f>Inputs!$I$3*ABS(B76-1)*Inputs!$H$3</f>
        <v>1.1405796839520112E-2</v>
      </c>
      <c r="AF76">
        <f>Inputs!$I$4*ABS(C76-1)*Inputs!$H$4</f>
        <v>0</v>
      </c>
      <c r="AG76">
        <f>Inputs!$I$5*ABS(D76-1)*Inputs!$H$5</f>
        <v>3.0032539984442563E-2</v>
      </c>
      <c r="AH76">
        <f>Inputs!$I$6*ABS(E76-1)*Inputs!$H$6</f>
        <v>0</v>
      </c>
      <c r="AI76">
        <f>Inputs!$I$7*ABS(F76-1)*Inputs!$H$7</f>
        <v>0</v>
      </c>
      <c r="AJ76">
        <f>Inputs!$I$8*ABS(G76-1)*Inputs!$H$8</f>
        <v>5.8391635937893226E-2</v>
      </c>
      <c r="AK76">
        <f>Inputs!$I$9*ABS(H76-1)*Inputs!$H$9</f>
        <v>0</v>
      </c>
      <c r="AL76">
        <f t="shared" si="12"/>
        <v>-9.9829972761855901E-2</v>
      </c>
      <c r="AN76" s="1">
        <f t="shared" si="13"/>
        <v>1.3141898731771451</v>
      </c>
      <c r="AO76">
        <f t="shared" si="9"/>
        <v>7.9580521359640787E-3</v>
      </c>
      <c r="AP76">
        <f t="shared" si="10"/>
        <v>3.6183074481594996E-4</v>
      </c>
      <c r="AQ76" s="26">
        <f t="shared" si="14"/>
        <v>1.0050938398698206</v>
      </c>
      <c r="AR76">
        <f t="shared" si="15"/>
        <v>-6.0451852824742894E-4</v>
      </c>
    </row>
    <row r="77" spans="1:44" x14ac:dyDescent="0.25">
      <c r="A77">
        <v>1</v>
      </c>
      <c r="B77">
        <v>0</v>
      </c>
      <c r="C77">
        <v>1</v>
      </c>
      <c r="D77">
        <v>0</v>
      </c>
      <c r="E77">
        <v>0</v>
      </c>
      <c r="F77">
        <v>1</v>
      </c>
      <c r="G77">
        <v>0</v>
      </c>
      <c r="H77">
        <v>1</v>
      </c>
      <c r="J77">
        <f>(A77*Inputs!$E$2+ABS((A77-1))*(1-Inputs!$E$2))</f>
        <v>0.65</v>
      </c>
      <c r="K77">
        <f>(B77*Inputs!$E$3+ABS((B77-1))*(1-Inputs!$E$3))</f>
        <v>0.35</v>
      </c>
      <c r="L77">
        <f>(C77*Inputs!$E$4+ABS((C77-1))*(1-Inputs!$E$4))</f>
        <v>0.65</v>
      </c>
      <c r="M77">
        <f>(D77*Inputs!$E$5+ABS((D77-1))*(1-Inputs!$E$5))</f>
        <v>0.35</v>
      </c>
      <c r="N77">
        <f>(E77*Inputs!$E$6+ABS((E77-1))*(1-Inputs!$E$6))</f>
        <v>0.4</v>
      </c>
      <c r="O77">
        <f>(F77*Inputs!$E$7+ABS((F77-1))*(1-Inputs!$E$7))</f>
        <v>0.75</v>
      </c>
      <c r="P77">
        <f>(G77*Inputs!$E$8+ABS((G77-1))*(1-Inputs!$E$8))</f>
        <v>0.4</v>
      </c>
      <c r="Q77">
        <f>(H77*Inputs!$E$9+ABS((H77-1))*(1-Inputs!$E$9))</f>
        <v>0.65</v>
      </c>
      <c r="R77">
        <f t="shared" si="11"/>
        <v>4.0369875000000003E-3</v>
      </c>
      <c r="T77">
        <f>Inputs!$I$2*A77*Inputs!$G$2</f>
        <v>0.52958847736625514</v>
      </c>
      <c r="U77">
        <f>Inputs!$I$3*B77*Inputs!$G$3</f>
        <v>0</v>
      </c>
      <c r="V77">
        <f>Inputs!$I$4*C77*Inputs!$G$4</f>
        <v>0.1422264291528948</v>
      </c>
      <c r="W77">
        <f>Inputs!$I$5*D77*Inputs!$G$5</f>
        <v>0</v>
      </c>
      <c r="X77">
        <f>Inputs!$I$6*E77*Inputs!$G$6</f>
        <v>0</v>
      </c>
      <c r="Y77">
        <f>Inputs!$I$7*F77*Inputs!$G$7</f>
        <v>0.19972733373941395</v>
      </c>
      <c r="Z77">
        <f>Inputs!$I$8*G77*Inputs!$G$8</f>
        <v>0</v>
      </c>
      <c r="AA77">
        <f>Inputs!$I$9*H77*Inputs!$G$9</f>
        <v>0.16590779367943137</v>
      </c>
      <c r="AB77">
        <f t="shared" si="8"/>
        <v>1.0374500339379953</v>
      </c>
      <c r="AD77">
        <f>Inputs!$I$2*ABS(A77-1)*Inputs!$H$2</f>
        <v>0</v>
      </c>
      <c r="AE77">
        <f>Inputs!$I$3*ABS(B77-1)*Inputs!$H$3</f>
        <v>1.1405796839520112E-2</v>
      </c>
      <c r="AF77">
        <f>Inputs!$I$4*ABS(C77-1)*Inputs!$H$4</f>
        <v>0</v>
      </c>
      <c r="AG77">
        <f>Inputs!$I$5*ABS(D77-1)*Inputs!$H$5</f>
        <v>3.0032539984442563E-2</v>
      </c>
      <c r="AH77">
        <f>Inputs!$I$6*ABS(E77-1)*Inputs!$H$6</f>
        <v>6.4042485034184693E-2</v>
      </c>
      <c r="AI77">
        <f>Inputs!$I$7*ABS(F77-1)*Inputs!$H$7</f>
        <v>0</v>
      </c>
      <c r="AJ77">
        <f>Inputs!$I$8*ABS(G77-1)*Inputs!$H$8</f>
        <v>5.8391635937893226E-2</v>
      </c>
      <c r="AK77">
        <f>Inputs!$I$9*ABS(H77-1)*Inputs!$H$9</f>
        <v>0</v>
      </c>
      <c r="AL77">
        <f t="shared" si="12"/>
        <v>-0.16387245779604059</v>
      </c>
      <c r="AN77" s="1">
        <f t="shared" si="13"/>
        <v>0.87357757614195464</v>
      </c>
      <c r="AO77">
        <f t="shared" si="9"/>
        <v>3.5266217551653692E-3</v>
      </c>
      <c r="AP77">
        <f t="shared" si="10"/>
        <v>1.8945637803412703E-3</v>
      </c>
      <c r="AQ77" s="26">
        <f t="shared" si="14"/>
        <v>1.0025378364431572</v>
      </c>
      <c r="AR77">
        <f t="shared" si="15"/>
        <v>-6.6155106371689344E-4</v>
      </c>
    </row>
    <row r="78" spans="1:44" x14ac:dyDescent="0.25">
      <c r="A78">
        <v>1</v>
      </c>
      <c r="B78">
        <v>0</v>
      </c>
      <c r="C78">
        <v>0</v>
      </c>
      <c r="D78">
        <v>1</v>
      </c>
      <c r="E78">
        <v>1</v>
      </c>
      <c r="F78">
        <v>1</v>
      </c>
      <c r="G78">
        <v>0</v>
      </c>
      <c r="H78">
        <v>1</v>
      </c>
      <c r="J78">
        <f>(A78*Inputs!$E$2+ABS((A78-1))*(1-Inputs!$E$2))</f>
        <v>0.65</v>
      </c>
      <c r="K78">
        <f>(B78*Inputs!$E$3+ABS((B78-1))*(1-Inputs!$E$3))</f>
        <v>0.35</v>
      </c>
      <c r="L78">
        <f>(C78*Inputs!$E$4+ABS((C78-1))*(1-Inputs!$E$4))</f>
        <v>0.35</v>
      </c>
      <c r="M78">
        <f>(D78*Inputs!$E$5+ABS((D78-1))*(1-Inputs!$E$5))</f>
        <v>0.65</v>
      </c>
      <c r="N78">
        <f>(E78*Inputs!$E$6+ABS((E78-1))*(1-Inputs!$E$6))</f>
        <v>0.6</v>
      </c>
      <c r="O78">
        <f>(F78*Inputs!$E$7+ABS((F78-1))*(1-Inputs!$E$7))</f>
        <v>0.75</v>
      </c>
      <c r="P78">
        <f>(G78*Inputs!$E$8+ABS((G78-1))*(1-Inputs!$E$8))</f>
        <v>0.4</v>
      </c>
      <c r="Q78">
        <f>(H78*Inputs!$E$9+ABS((H78-1))*(1-Inputs!$E$9))</f>
        <v>0.65</v>
      </c>
      <c r="R78">
        <f t="shared" si="11"/>
        <v>6.0554812500000004E-3</v>
      </c>
      <c r="T78">
        <f>Inputs!$I$2*A78*Inputs!$G$2</f>
        <v>0.52958847736625514</v>
      </c>
      <c r="U78">
        <f>Inputs!$I$3*B78*Inputs!$G$3</f>
        <v>0</v>
      </c>
      <c r="V78">
        <f>Inputs!$I$4*C78*Inputs!$G$4</f>
        <v>0</v>
      </c>
      <c r="W78">
        <f>Inputs!$I$5*D78*Inputs!$G$5</f>
        <v>0.20551679322687164</v>
      </c>
      <c r="X78">
        <f>Inputs!$I$6*E78*Inputs!$G$6</f>
        <v>0.37656981200100598</v>
      </c>
      <c r="Y78">
        <f>Inputs!$I$7*F78*Inputs!$G$7</f>
        <v>0.19972733373941395</v>
      </c>
      <c r="Z78">
        <f>Inputs!$I$8*G78*Inputs!$G$8</f>
        <v>0</v>
      </c>
      <c r="AA78">
        <f>Inputs!$I$9*H78*Inputs!$G$9</f>
        <v>0.16590779367943137</v>
      </c>
      <c r="AB78">
        <f t="shared" si="8"/>
        <v>1.477310210012978</v>
      </c>
      <c r="AD78">
        <f>Inputs!$I$2*ABS(A78-1)*Inputs!$H$2</f>
        <v>0</v>
      </c>
      <c r="AE78">
        <f>Inputs!$I$3*ABS(B78-1)*Inputs!$H$3</f>
        <v>1.1405796839520112E-2</v>
      </c>
      <c r="AF78">
        <f>Inputs!$I$4*ABS(C78-1)*Inputs!$H$4</f>
        <v>8.9678988679000853E-3</v>
      </c>
      <c r="AG78">
        <f>Inputs!$I$5*ABS(D78-1)*Inputs!$H$5</f>
        <v>0</v>
      </c>
      <c r="AH78">
        <f>Inputs!$I$6*ABS(E78-1)*Inputs!$H$6</f>
        <v>0</v>
      </c>
      <c r="AI78">
        <f>Inputs!$I$7*ABS(F78-1)*Inputs!$H$7</f>
        <v>0</v>
      </c>
      <c r="AJ78">
        <f>Inputs!$I$8*ABS(G78-1)*Inputs!$H$8</f>
        <v>5.8391635937893226E-2</v>
      </c>
      <c r="AK78">
        <f>Inputs!$I$9*ABS(H78-1)*Inputs!$H$9</f>
        <v>0</v>
      </c>
      <c r="AL78">
        <f t="shared" si="12"/>
        <v>-7.8765331645313422E-2</v>
      </c>
      <c r="AN78" s="1">
        <f t="shared" si="13"/>
        <v>1.3985448783676646</v>
      </c>
      <c r="AO78">
        <f t="shared" si="9"/>
        <v>8.4688622882389247E-3</v>
      </c>
      <c r="AP78">
        <f t="shared" si="10"/>
        <v>1.5519174796906407E-4</v>
      </c>
      <c r="AQ78" s="26">
        <f t="shared" si="14"/>
        <v>1.0053117696577738</v>
      </c>
      <c r="AR78">
        <f t="shared" si="15"/>
        <v>-4.769619889282271E-4</v>
      </c>
    </row>
    <row r="79" spans="1:44" x14ac:dyDescent="0.25">
      <c r="A79">
        <v>1</v>
      </c>
      <c r="B79">
        <v>0</v>
      </c>
      <c r="C79">
        <v>0</v>
      </c>
      <c r="D79">
        <v>1</v>
      </c>
      <c r="E79">
        <v>0</v>
      </c>
      <c r="F79">
        <v>1</v>
      </c>
      <c r="G79">
        <v>0</v>
      </c>
      <c r="H79">
        <v>1</v>
      </c>
      <c r="J79">
        <f>(A79*Inputs!$E$2+ABS((A79-1))*(1-Inputs!$E$2))</f>
        <v>0.65</v>
      </c>
      <c r="K79">
        <f>(B79*Inputs!$E$3+ABS((B79-1))*(1-Inputs!$E$3))</f>
        <v>0.35</v>
      </c>
      <c r="L79">
        <f>(C79*Inputs!$E$4+ABS((C79-1))*(1-Inputs!$E$4))</f>
        <v>0.35</v>
      </c>
      <c r="M79">
        <f>(D79*Inputs!$E$5+ABS((D79-1))*(1-Inputs!$E$5))</f>
        <v>0.65</v>
      </c>
      <c r="N79">
        <f>(E79*Inputs!$E$6+ABS((E79-1))*(1-Inputs!$E$6))</f>
        <v>0.4</v>
      </c>
      <c r="O79">
        <f>(F79*Inputs!$E$7+ABS((F79-1))*(1-Inputs!$E$7))</f>
        <v>0.75</v>
      </c>
      <c r="P79">
        <f>(G79*Inputs!$E$8+ABS((G79-1))*(1-Inputs!$E$8))</f>
        <v>0.4</v>
      </c>
      <c r="Q79">
        <f>(H79*Inputs!$E$9+ABS((H79-1))*(1-Inputs!$E$9))</f>
        <v>0.65</v>
      </c>
      <c r="R79">
        <f t="shared" si="11"/>
        <v>4.0369875000000003E-3</v>
      </c>
      <c r="T79">
        <f>Inputs!$I$2*A79*Inputs!$G$2</f>
        <v>0.52958847736625514</v>
      </c>
      <c r="U79">
        <f>Inputs!$I$3*B79*Inputs!$G$3</f>
        <v>0</v>
      </c>
      <c r="V79">
        <f>Inputs!$I$4*C79*Inputs!$G$4</f>
        <v>0</v>
      </c>
      <c r="W79">
        <f>Inputs!$I$5*D79*Inputs!$G$5</f>
        <v>0.20551679322687164</v>
      </c>
      <c r="X79">
        <f>Inputs!$I$6*E79*Inputs!$G$6</f>
        <v>0</v>
      </c>
      <c r="Y79">
        <f>Inputs!$I$7*F79*Inputs!$G$7</f>
        <v>0.19972733373941395</v>
      </c>
      <c r="Z79">
        <f>Inputs!$I$8*G79*Inputs!$G$8</f>
        <v>0</v>
      </c>
      <c r="AA79">
        <f>Inputs!$I$9*H79*Inputs!$G$9</f>
        <v>0.16590779367943137</v>
      </c>
      <c r="AB79">
        <f t="shared" si="8"/>
        <v>1.1007403980119721</v>
      </c>
      <c r="AD79">
        <f>Inputs!$I$2*ABS(A79-1)*Inputs!$H$2</f>
        <v>0</v>
      </c>
      <c r="AE79">
        <f>Inputs!$I$3*ABS(B79-1)*Inputs!$H$3</f>
        <v>1.1405796839520112E-2</v>
      </c>
      <c r="AF79">
        <f>Inputs!$I$4*ABS(C79-1)*Inputs!$H$4</f>
        <v>8.9678988679000853E-3</v>
      </c>
      <c r="AG79">
        <f>Inputs!$I$5*ABS(D79-1)*Inputs!$H$5</f>
        <v>0</v>
      </c>
      <c r="AH79">
        <f>Inputs!$I$6*ABS(E79-1)*Inputs!$H$6</f>
        <v>6.4042485034184693E-2</v>
      </c>
      <c r="AI79">
        <f>Inputs!$I$7*ABS(F79-1)*Inputs!$H$7</f>
        <v>0</v>
      </c>
      <c r="AJ79">
        <f>Inputs!$I$8*ABS(G79-1)*Inputs!$H$8</f>
        <v>5.8391635937893226E-2</v>
      </c>
      <c r="AK79">
        <f>Inputs!$I$9*ABS(H79-1)*Inputs!$H$9</f>
        <v>0</v>
      </c>
      <c r="AL79">
        <f t="shared" si="12"/>
        <v>-0.14280781667949813</v>
      </c>
      <c r="AN79" s="1">
        <f t="shared" si="13"/>
        <v>0.95793258133247394</v>
      </c>
      <c r="AO79">
        <f t="shared" si="9"/>
        <v>3.8671618566819307E-3</v>
      </c>
      <c r="AP79">
        <f t="shared" si="10"/>
        <v>1.456712136386395E-3</v>
      </c>
      <c r="AQ79" s="26">
        <f t="shared" si="14"/>
        <v>1.0027160898495171</v>
      </c>
      <c r="AR79">
        <f t="shared" si="15"/>
        <v>-5.7651337083742551E-4</v>
      </c>
    </row>
    <row r="80" spans="1:44" x14ac:dyDescent="0.25">
      <c r="A80">
        <v>1</v>
      </c>
      <c r="B80">
        <v>0</v>
      </c>
      <c r="C80">
        <v>0</v>
      </c>
      <c r="D80">
        <v>0</v>
      </c>
      <c r="E80">
        <v>1</v>
      </c>
      <c r="F80">
        <v>1</v>
      </c>
      <c r="G80">
        <v>0</v>
      </c>
      <c r="H80">
        <v>1</v>
      </c>
      <c r="J80">
        <f>(A80*Inputs!$E$2+ABS((A80-1))*(1-Inputs!$E$2))</f>
        <v>0.65</v>
      </c>
      <c r="K80">
        <f>(B80*Inputs!$E$3+ABS((B80-1))*(1-Inputs!$E$3))</f>
        <v>0.35</v>
      </c>
      <c r="L80">
        <f>(C80*Inputs!$E$4+ABS((C80-1))*(1-Inputs!$E$4))</f>
        <v>0.35</v>
      </c>
      <c r="M80">
        <f>(D80*Inputs!$E$5+ABS((D80-1))*(1-Inputs!$E$5))</f>
        <v>0.35</v>
      </c>
      <c r="N80">
        <f>(E80*Inputs!$E$6+ABS((E80-1))*(1-Inputs!$E$6))</f>
        <v>0.6</v>
      </c>
      <c r="O80">
        <f>(F80*Inputs!$E$7+ABS((F80-1))*(1-Inputs!$E$7))</f>
        <v>0.75</v>
      </c>
      <c r="P80">
        <f>(G80*Inputs!$E$8+ABS((G80-1))*(1-Inputs!$E$8))</f>
        <v>0.4</v>
      </c>
      <c r="Q80">
        <f>(H80*Inputs!$E$9+ABS((H80-1))*(1-Inputs!$E$9))</f>
        <v>0.65</v>
      </c>
      <c r="R80">
        <f t="shared" si="11"/>
        <v>3.2606437500000002E-3</v>
      </c>
      <c r="T80">
        <f>Inputs!$I$2*A80*Inputs!$G$2</f>
        <v>0.52958847736625514</v>
      </c>
      <c r="U80">
        <f>Inputs!$I$3*B80*Inputs!$G$3</f>
        <v>0</v>
      </c>
      <c r="V80">
        <f>Inputs!$I$4*C80*Inputs!$G$4</f>
        <v>0</v>
      </c>
      <c r="W80">
        <f>Inputs!$I$5*D80*Inputs!$G$5</f>
        <v>0</v>
      </c>
      <c r="X80">
        <f>Inputs!$I$6*E80*Inputs!$G$6</f>
        <v>0.37656981200100598</v>
      </c>
      <c r="Y80">
        <f>Inputs!$I$7*F80*Inputs!$G$7</f>
        <v>0.19972733373941395</v>
      </c>
      <c r="Z80">
        <f>Inputs!$I$8*G80*Inputs!$G$8</f>
        <v>0</v>
      </c>
      <c r="AA80">
        <f>Inputs!$I$9*H80*Inputs!$G$9</f>
        <v>0.16590779367943137</v>
      </c>
      <c r="AB80">
        <f t="shared" si="8"/>
        <v>1.2717934167861062</v>
      </c>
      <c r="AD80">
        <f>Inputs!$I$2*ABS(A80-1)*Inputs!$H$2</f>
        <v>0</v>
      </c>
      <c r="AE80">
        <f>Inputs!$I$3*ABS(B80-1)*Inputs!$H$3</f>
        <v>1.1405796839520112E-2</v>
      </c>
      <c r="AF80">
        <f>Inputs!$I$4*ABS(C80-1)*Inputs!$H$4</f>
        <v>8.9678988679000853E-3</v>
      </c>
      <c r="AG80">
        <f>Inputs!$I$5*ABS(D80-1)*Inputs!$H$5</f>
        <v>3.0032539984442563E-2</v>
      </c>
      <c r="AH80">
        <f>Inputs!$I$6*ABS(E80-1)*Inputs!$H$6</f>
        <v>0</v>
      </c>
      <c r="AI80">
        <f>Inputs!$I$7*ABS(F80-1)*Inputs!$H$7</f>
        <v>0</v>
      </c>
      <c r="AJ80">
        <f>Inputs!$I$8*ABS(G80-1)*Inputs!$H$8</f>
        <v>5.8391635937893226E-2</v>
      </c>
      <c r="AK80">
        <f>Inputs!$I$9*ABS(H80-1)*Inputs!$H$9</f>
        <v>0</v>
      </c>
      <c r="AL80">
        <f t="shared" si="12"/>
        <v>-0.10879787162975599</v>
      </c>
      <c r="AN80" s="1">
        <f t="shared" si="13"/>
        <v>1.1629955451563503</v>
      </c>
      <c r="AO80">
        <f t="shared" si="9"/>
        <v>3.7921141555918966E-3</v>
      </c>
      <c r="AP80">
        <f t="shared" si="10"/>
        <v>5.1038612035919845E-4</v>
      </c>
      <c r="AQ80" s="26">
        <f t="shared" si="14"/>
        <v>1.0025187340686432</v>
      </c>
      <c r="AR80">
        <f t="shared" si="15"/>
        <v>-3.5475110014286621E-4</v>
      </c>
    </row>
    <row r="81" spans="1:44" x14ac:dyDescent="0.25">
      <c r="A81">
        <v>1</v>
      </c>
      <c r="B81">
        <v>0</v>
      </c>
      <c r="C81">
        <v>0</v>
      </c>
      <c r="D81">
        <v>0</v>
      </c>
      <c r="E81">
        <v>0</v>
      </c>
      <c r="F81">
        <v>1</v>
      </c>
      <c r="G81">
        <v>0</v>
      </c>
      <c r="H81">
        <v>1</v>
      </c>
      <c r="J81">
        <f>(A81*Inputs!$E$2+ABS((A81-1))*(1-Inputs!$E$2))</f>
        <v>0.65</v>
      </c>
      <c r="K81">
        <f>(B81*Inputs!$E$3+ABS((B81-1))*(1-Inputs!$E$3))</f>
        <v>0.35</v>
      </c>
      <c r="L81">
        <f>(C81*Inputs!$E$4+ABS((C81-1))*(1-Inputs!$E$4))</f>
        <v>0.35</v>
      </c>
      <c r="M81">
        <f>(D81*Inputs!$E$5+ABS((D81-1))*(1-Inputs!$E$5))</f>
        <v>0.35</v>
      </c>
      <c r="N81">
        <f>(E81*Inputs!$E$6+ABS((E81-1))*(1-Inputs!$E$6))</f>
        <v>0.4</v>
      </c>
      <c r="O81">
        <f>(F81*Inputs!$E$7+ABS((F81-1))*(1-Inputs!$E$7))</f>
        <v>0.75</v>
      </c>
      <c r="P81">
        <f>(G81*Inputs!$E$8+ABS((G81-1))*(1-Inputs!$E$8))</f>
        <v>0.4</v>
      </c>
      <c r="Q81">
        <f>(H81*Inputs!$E$9+ABS((H81-1))*(1-Inputs!$E$9))</f>
        <v>0.65</v>
      </c>
      <c r="R81">
        <f t="shared" si="11"/>
        <v>2.1737624999999998E-3</v>
      </c>
      <c r="T81">
        <f>Inputs!$I$2*A81*Inputs!$G$2</f>
        <v>0.52958847736625514</v>
      </c>
      <c r="U81">
        <f>Inputs!$I$3*B81*Inputs!$G$3</f>
        <v>0</v>
      </c>
      <c r="V81">
        <f>Inputs!$I$4*C81*Inputs!$G$4</f>
        <v>0</v>
      </c>
      <c r="W81">
        <f>Inputs!$I$5*D81*Inputs!$G$5</f>
        <v>0</v>
      </c>
      <c r="X81">
        <f>Inputs!$I$6*E81*Inputs!$G$6</f>
        <v>0</v>
      </c>
      <c r="Y81">
        <f>Inputs!$I$7*F81*Inputs!$G$7</f>
        <v>0.19972733373941395</v>
      </c>
      <c r="Z81">
        <f>Inputs!$I$8*G81*Inputs!$G$8</f>
        <v>0</v>
      </c>
      <c r="AA81">
        <f>Inputs!$I$9*H81*Inputs!$G$9</f>
        <v>0.16590779367943137</v>
      </c>
      <c r="AB81">
        <f t="shared" si="8"/>
        <v>0.89522360478510055</v>
      </c>
      <c r="AD81">
        <f>Inputs!$I$2*ABS(A81-1)*Inputs!$H$2</f>
        <v>0</v>
      </c>
      <c r="AE81">
        <f>Inputs!$I$3*ABS(B81-1)*Inputs!$H$3</f>
        <v>1.1405796839520112E-2</v>
      </c>
      <c r="AF81">
        <f>Inputs!$I$4*ABS(C81-1)*Inputs!$H$4</f>
        <v>8.9678988679000853E-3</v>
      </c>
      <c r="AG81">
        <f>Inputs!$I$5*ABS(D81-1)*Inputs!$H$5</f>
        <v>3.0032539984442563E-2</v>
      </c>
      <c r="AH81">
        <f>Inputs!$I$6*ABS(E81-1)*Inputs!$H$6</f>
        <v>6.4042485034184693E-2</v>
      </c>
      <c r="AI81">
        <f>Inputs!$I$7*ABS(F81-1)*Inputs!$H$7</f>
        <v>0</v>
      </c>
      <c r="AJ81">
        <f>Inputs!$I$8*ABS(G81-1)*Inputs!$H$8</f>
        <v>5.8391635937893226E-2</v>
      </c>
      <c r="AK81">
        <f>Inputs!$I$9*ABS(H81-1)*Inputs!$H$9</f>
        <v>0</v>
      </c>
      <c r="AL81">
        <f t="shared" si="12"/>
        <v>-0.17284035666394068</v>
      </c>
      <c r="AN81" s="1">
        <f t="shared" si="13"/>
        <v>0.72238324812115984</v>
      </c>
      <c r="AO81">
        <f t="shared" si="9"/>
        <v>1.5702896153939726E-3</v>
      </c>
      <c r="AP81">
        <f t="shared" si="10"/>
        <v>1.5201429507534462E-3</v>
      </c>
      <c r="AQ81" s="26">
        <f t="shared" si="14"/>
        <v>1.0011825928192182</v>
      </c>
      <c r="AR81">
        <f t="shared" si="15"/>
        <v>-3.7571388580269932E-4</v>
      </c>
    </row>
    <row r="82" spans="1:44" x14ac:dyDescent="0.25">
      <c r="A82">
        <v>0</v>
      </c>
      <c r="B82">
        <v>1</v>
      </c>
      <c r="C82">
        <v>1</v>
      </c>
      <c r="D82">
        <v>1</v>
      </c>
      <c r="E82">
        <v>1</v>
      </c>
      <c r="F82">
        <v>1</v>
      </c>
      <c r="G82">
        <v>0</v>
      </c>
      <c r="H82">
        <v>1</v>
      </c>
      <c r="J82">
        <f>(A82*Inputs!$E$2+ABS((A82-1))*(1-Inputs!$E$2))</f>
        <v>0.35</v>
      </c>
      <c r="K82">
        <f>(B82*Inputs!$E$3+ABS((B82-1))*(1-Inputs!$E$3))</f>
        <v>0.65</v>
      </c>
      <c r="L82">
        <f>(C82*Inputs!$E$4+ABS((C82-1))*(1-Inputs!$E$4))</f>
        <v>0.65</v>
      </c>
      <c r="M82">
        <f>(D82*Inputs!$E$5+ABS((D82-1))*(1-Inputs!$E$5))</f>
        <v>0.65</v>
      </c>
      <c r="N82">
        <f>(E82*Inputs!$E$6+ABS((E82-1))*(1-Inputs!$E$6))</f>
        <v>0.6</v>
      </c>
      <c r="O82">
        <f>(F82*Inputs!$E$7+ABS((F82-1))*(1-Inputs!$E$7))</f>
        <v>0.75</v>
      </c>
      <c r="P82">
        <f>(G82*Inputs!$E$8+ABS((G82-1))*(1-Inputs!$E$8))</f>
        <v>0.4</v>
      </c>
      <c r="Q82">
        <f>(H82*Inputs!$E$9+ABS((H82-1))*(1-Inputs!$E$9))</f>
        <v>0.65</v>
      </c>
      <c r="R82">
        <f t="shared" si="11"/>
        <v>1.1245893749999999E-2</v>
      </c>
      <c r="T82">
        <f>Inputs!$I$2*A82*Inputs!$G$2</f>
        <v>0</v>
      </c>
      <c r="U82">
        <f>Inputs!$I$3*B82*Inputs!$G$3</f>
        <v>0.20645773829738062</v>
      </c>
      <c r="V82">
        <f>Inputs!$I$4*C82*Inputs!$G$4</f>
        <v>0.1422264291528948</v>
      </c>
      <c r="W82">
        <f>Inputs!$I$5*D82*Inputs!$G$5</f>
        <v>0.20551679322687164</v>
      </c>
      <c r="X82">
        <f>Inputs!$I$6*E82*Inputs!$G$6</f>
        <v>0.37656981200100598</v>
      </c>
      <c r="Y82">
        <f>Inputs!$I$7*F82*Inputs!$G$7</f>
        <v>0.19972733373941395</v>
      </c>
      <c r="Z82">
        <f>Inputs!$I$8*G82*Inputs!$G$8</f>
        <v>0</v>
      </c>
      <c r="AA82">
        <f>Inputs!$I$9*H82*Inputs!$G$9</f>
        <v>0.16590779367943137</v>
      </c>
      <c r="AB82">
        <f t="shared" si="8"/>
        <v>1.2964059000969983</v>
      </c>
      <c r="AD82">
        <f>Inputs!$I$2*ABS(A82-1)*Inputs!$H$2</f>
        <v>3.0082304526748989E-2</v>
      </c>
      <c r="AE82">
        <f>Inputs!$I$3*ABS(B82-1)*Inputs!$H$3</f>
        <v>0</v>
      </c>
      <c r="AF82">
        <f>Inputs!$I$4*ABS(C82-1)*Inputs!$H$4</f>
        <v>0</v>
      </c>
      <c r="AG82">
        <f>Inputs!$I$5*ABS(D82-1)*Inputs!$H$5</f>
        <v>0</v>
      </c>
      <c r="AH82">
        <f>Inputs!$I$6*ABS(E82-1)*Inputs!$H$6</f>
        <v>0</v>
      </c>
      <c r="AI82">
        <f>Inputs!$I$7*ABS(F82-1)*Inputs!$H$7</f>
        <v>0</v>
      </c>
      <c r="AJ82">
        <f>Inputs!$I$8*ABS(G82-1)*Inputs!$H$8</f>
        <v>5.8391635937893226E-2</v>
      </c>
      <c r="AK82">
        <f>Inputs!$I$9*ABS(H82-1)*Inputs!$H$9</f>
        <v>0</v>
      </c>
      <c r="AL82">
        <f t="shared" si="12"/>
        <v>-8.8473940464642215E-2</v>
      </c>
      <c r="AN82" s="1">
        <f t="shared" si="13"/>
        <v>1.2079319596323561</v>
      </c>
      <c r="AO82">
        <f t="shared" si="9"/>
        <v>1.3584274475254765E-2</v>
      </c>
      <c r="AP82">
        <f t="shared" si="10"/>
        <v>1.3831487233005391E-3</v>
      </c>
      <c r="AQ82" s="26">
        <f t="shared" si="14"/>
        <v>1.0089471699045336</v>
      </c>
      <c r="AR82">
        <f t="shared" si="15"/>
        <v>-9.9496853410919192E-4</v>
      </c>
    </row>
    <row r="83" spans="1:44" x14ac:dyDescent="0.25">
      <c r="A83">
        <v>0</v>
      </c>
      <c r="B83">
        <v>1</v>
      </c>
      <c r="C83">
        <v>1</v>
      </c>
      <c r="D83">
        <v>1</v>
      </c>
      <c r="E83">
        <v>0</v>
      </c>
      <c r="F83">
        <v>1</v>
      </c>
      <c r="G83">
        <v>0</v>
      </c>
      <c r="H83">
        <v>1</v>
      </c>
      <c r="J83">
        <f>(A83*Inputs!$E$2+ABS((A83-1))*(1-Inputs!$E$2))</f>
        <v>0.35</v>
      </c>
      <c r="K83">
        <f>(B83*Inputs!$E$3+ABS((B83-1))*(1-Inputs!$E$3))</f>
        <v>0.65</v>
      </c>
      <c r="L83">
        <f>(C83*Inputs!$E$4+ABS((C83-1))*(1-Inputs!$E$4))</f>
        <v>0.65</v>
      </c>
      <c r="M83">
        <f>(D83*Inputs!$E$5+ABS((D83-1))*(1-Inputs!$E$5))</f>
        <v>0.65</v>
      </c>
      <c r="N83">
        <f>(E83*Inputs!$E$6+ABS((E83-1))*(1-Inputs!$E$6))</f>
        <v>0.4</v>
      </c>
      <c r="O83">
        <f>(F83*Inputs!$E$7+ABS((F83-1))*(1-Inputs!$E$7))</f>
        <v>0.75</v>
      </c>
      <c r="P83">
        <f>(G83*Inputs!$E$8+ABS((G83-1))*(1-Inputs!$E$8))</f>
        <v>0.4</v>
      </c>
      <c r="Q83">
        <f>(H83*Inputs!$E$9+ABS((H83-1))*(1-Inputs!$E$9))</f>
        <v>0.65</v>
      </c>
      <c r="R83">
        <f t="shared" si="11"/>
        <v>7.4972624999999999E-3</v>
      </c>
      <c r="T83">
        <f>Inputs!$I$2*A83*Inputs!$G$2</f>
        <v>0</v>
      </c>
      <c r="U83">
        <f>Inputs!$I$3*B83*Inputs!$G$3</f>
        <v>0.20645773829738062</v>
      </c>
      <c r="V83">
        <f>Inputs!$I$4*C83*Inputs!$G$4</f>
        <v>0.1422264291528948</v>
      </c>
      <c r="W83">
        <f>Inputs!$I$5*D83*Inputs!$G$5</f>
        <v>0.20551679322687164</v>
      </c>
      <c r="X83">
        <f>Inputs!$I$6*E83*Inputs!$G$6</f>
        <v>0</v>
      </c>
      <c r="Y83">
        <f>Inputs!$I$7*F83*Inputs!$G$7</f>
        <v>0.19972733373941395</v>
      </c>
      <c r="Z83">
        <f>Inputs!$I$8*G83*Inputs!$G$8</f>
        <v>0</v>
      </c>
      <c r="AA83">
        <f>Inputs!$I$9*H83*Inputs!$G$9</f>
        <v>0.16590779367943137</v>
      </c>
      <c r="AB83">
        <f t="shared" si="8"/>
        <v>0.91983608809599238</v>
      </c>
      <c r="AD83">
        <f>Inputs!$I$2*ABS(A83-1)*Inputs!$H$2</f>
        <v>3.0082304526748989E-2</v>
      </c>
      <c r="AE83">
        <f>Inputs!$I$3*ABS(B83-1)*Inputs!$H$3</f>
        <v>0</v>
      </c>
      <c r="AF83">
        <f>Inputs!$I$4*ABS(C83-1)*Inputs!$H$4</f>
        <v>0</v>
      </c>
      <c r="AG83">
        <f>Inputs!$I$5*ABS(D83-1)*Inputs!$H$5</f>
        <v>0</v>
      </c>
      <c r="AH83">
        <f>Inputs!$I$6*ABS(E83-1)*Inputs!$H$6</f>
        <v>6.4042485034184693E-2</v>
      </c>
      <c r="AI83">
        <f>Inputs!$I$7*ABS(F83-1)*Inputs!$H$7</f>
        <v>0</v>
      </c>
      <c r="AJ83">
        <f>Inputs!$I$8*ABS(G83-1)*Inputs!$H$8</f>
        <v>5.8391635937893226E-2</v>
      </c>
      <c r="AK83">
        <f>Inputs!$I$9*ABS(H83-1)*Inputs!$H$9</f>
        <v>0</v>
      </c>
      <c r="AL83">
        <f t="shared" si="12"/>
        <v>-0.15251642549882691</v>
      </c>
      <c r="AN83" s="1">
        <f t="shared" si="13"/>
        <v>0.76731966259716544</v>
      </c>
      <c r="AO83">
        <f t="shared" si="9"/>
        <v>5.7527969319023809E-3</v>
      </c>
      <c r="AP83">
        <f t="shared" si="10"/>
        <v>4.6946156377284248E-3</v>
      </c>
      <c r="AQ83" s="26">
        <f t="shared" si="14"/>
        <v>1.0042785486868346</v>
      </c>
      <c r="AR83">
        <f t="shared" si="15"/>
        <v>-1.1434556775263987E-3</v>
      </c>
    </row>
    <row r="84" spans="1:44" x14ac:dyDescent="0.25">
      <c r="A84">
        <v>0</v>
      </c>
      <c r="B84">
        <v>1</v>
      </c>
      <c r="C84">
        <v>1</v>
      </c>
      <c r="D84">
        <v>0</v>
      </c>
      <c r="E84">
        <v>1</v>
      </c>
      <c r="F84">
        <v>1</v>
      </c>
      <c r="G84">
        <v>0</v>
      </c>
      <c r="H84">
        <v>1</v>
      </c>
      <c r="J84">
        <f>(A84*Inputs!$E$2+ABS((A84-1))*(1-Inputs!$E$2))</f>
        <v>0.35</v>
      </c>
      <c r="K84">
        <f>(B84*Inputs!$E$3+ABS((B84-1))*(1-Inputs!$E$3))</f>
        <v>0.65</v>
      </c>
      <c r="L84">
        <f>(C84*Inputs!$E$4+ABS((C84-1))*(1-Inputs!$E$4))</f>
        <v>0.65</v>
      </c>
      <c r="M84">
        <f>(D84*Inputs!$E$5+ABS((D84-1))*(1-Inputs!$E$5))</f>
        <v>0.35</v>
      </c>
      <c r="N84">
        <f>(E84*Inputs!$E$6+ABS((E84-1))*(1-Inputs!$E$6))</f>
        <v>0.6</v>
      </c>
      <c r="O84">
        <f>(F84*Inputs!$E$7+ABS((F84-1))*(1-Inputs!$E$7))</f>
        <v>0.75</v>
      </c>
      <c r="P84">
        <f>(G84*Inputs!$E$8+ABS((G84-1))*(1-Inputs!$E$8))</f>
        <v>0.4</v>
      </c>
      <c r="Q84">
        <f>(H84*Inputs!$E$9+ABS((H84-1))*(1-Inputs!$E$9))</f>
        <v>0.65</v>
      </c>
      <c r="R84">
        <f t="shared" si="11"/>
        <v>6.0554812499999987E-3</v>
      </c>
      <c r="T84">
        <f>Inputs!$I$2*A84*Inputs!$G$2</f>
        <v>0</v>
      </c>
      <c r="U84">
        <f>Inputs!$I$3*B84*Inputs!$G$3</f>
        <v>0.20645773829738062</v>
      </c>
      <c r="V84">
        <f>Inputs!$I$4*C84*Inputs!$G$4</f>
        <v>0.1422264291528948</v>
      </c>
      <c r="W84">
        <f>Inputs!$I$5*D84*Inputs!$G$5</f>
        <v>0</v>
      </c>
      <c r="X84">
        <f>Inputs!$I$6*E84*Inputs!$G$6</f>
        <v>0.37656981200100598</v>
      </c>
      <c r="Y84">
        <f>Inputs!$I$7*F84*Inputs!$G$7</f>
        <v>0.19972733373941395</v>
      </c>
      <c r="Z84">
        <f>Inputs!$I$8*G84*Inputs!$G$8</f>
        <v>0</v>
      </c>
      <c r="AA84">
        <f>Inputs!$I$9*H84*Inputs!$G$9</f>
        <v>0.16590779367943137</v>
      </c>
      <c r="AB84">
        <f t="shared" si="8"/>
        <v>1.0908891068701267</v>
      </c>
      <c r="AD84">
        <f>Inputs!$I$2*ABS(A84-1)*Inputs!$H$2</f>
        <v>3.0082304526748989E-2</v>
      </c>
      <c r="AE84">
        <f>Inputs!$I$3*ABS(B84-1)*Inputs!$H$3</f>
        <v>0</v>
      </c>
      <c r="AF84">
        <f>Inputs!$I$4*ABS(C84-1)*Inputs!$H$4</f>
        <v>0</v>
      </c>
      <c r="AG84">
        <f>Inputs!$I$5*ABS(D84-1)*Inputs!$H$5</f>
        <v>3.0032539984442563E-2</v>
      </c>
      <c r="AH84">
        <f>Inputs!$I$6*ABS(E84-1)*Inputs!$H$6</f>
        <v>0</v>
      </c>
      <c r="AI84">
        <f>Inputs!$I$7*ABS(F84-1)*Inputs!$H$7</f>
        <v>0</v>
      </c>
      <c r="AJ84">
        <f>Inputs!$I$8*ABS(G84-1)*Inputs!$H$8</f>
        <v>5.8391635937893226E-2</v>
      </c>
      <c r="AK84">
        <f>Inputs!$I$9*ABS(H84-1)*Inputs!$H$9</f>
        <v>0</v>
      </c>
      <c r="AL84">
        <f t="shared" si="12"/>
        <v>-0.11850648044908477</v>
      </c>
      <c r="AN84" s="1">
        <f t="shared" si="13"/>
        <v>0.97238262642104201</v>
      </c>
      <c r="AO84">
        <f t="shared" si="9"/>
        <v>5.8882447621183736E-3</v>
      </c>
      <c r="AP84">
        <f t="shared" si="10"/>
        <v>2.0812076073181574E-3</v>
      </c>
      <c r="AQ84" s="26">
        <f t="shared" si="14"/>
        <v>1.0041216093769294</v>
      </c>
      <c r="AR84">
        <f t="shared" si="15"/>
        <v>-7.1761377036292425E-4</v>
      </c>
    </row>
    <row r="85" spans="1:44" x14ac:dyDescent="0.25">
      <c r="A85">
        <v>0</v>
      </c>
      <c r="B85">
        <v>1</v>
      </c>
      <c r="C85">
        <v>1</v>
      </c>
      <c r="D85">
        <v>0</v>
      </c>
      <c r="E85">
        <v>0</v>
      </c>
      <c r="F85">
        <v>1</v>
      </c>
      <c r="G85">
        <v>0</v>
      </c>
      <c r="H85">
        <v>1</v>
      </c>
      <c r="J85">
        <f>(A85*Inputs!$E$2+ABS((A85-1))*(1-Inputs!$E$2))</f>
        <v>0.35</v>
      </c>
      <c r="K85">
        <f>(B85*Inputs!$E$3+ABS((B85-1))*(1-Inputs!$E$3))</f>
        <v>0.65</v>
      </c>
      <c r="L85">
        <f>(C85*Inputs!$E$4+ABS((C85-1))*(1-Inputs!$E$4))</f>
        <v>0.65</v>
      </c>
      <c r="M85">
        <f>(D85*Inputs!$E$5+ABS((D85-1))*(1-Inputs!$E$5))</f>
        <v>0.35</v>
      </c>
      <c r="N85">
        <f>(E85*Inputs!$E$6+ABS((E85-1))*(1-Inputs!$E$6))</f>
        <v>0.4</v>
      </c>
      <c r="O85">
        <f>(F85*Inputs!$E$7+ABS((F85-1))*(1-Inputs!$E$7))</f>
        <v>0.75</v>
      </c>
      <c r="P85">
        <f>(G85*Inputs!$E$8+ABS((G85-1))*(1-Inputs!$E$8))</f>
        <v>0.4</v>
      </c>
      <c r="Q85">
        <f>(H85*Inputs!$E$9+ABS((H85-1))*(1-Inputs!$E$9))</f>
        <v>0.65</v>
      </c>
      <c r="R85">
        <f t="shared" si="11"/>
        <v>4.0369875000000003E-3</v>
      </c>
      <c r="T85">
        <f>Inputs!$I$2*A85*Inputs!$G$2</f>
        <v>0</v>
      </c>
      <c r="U85">
        <f>Inputs!$I$3*B85*Inputs!$G$3</f>
        <v>0.20645773829738062</v>
      </c>
      <c r="V85">
        <f>Inputs!$I$4*C85*Inputs!$G$4</f>
        <v>0.1422264291528948</v>
      </c>
      <c r="W85">
        <f>Inputs!$I$5*D85*Inputs!$G$5</f>
        <v>0</v>
      </c>
      <c r="X85">
        <f>Inputs!$I$6*E85*Inputs!$G$6</f>
        <v>0</v>
      </c>
      <c r="Y85">
        <f>Inputs!$I$7*F85*Inputs!$G$7</f>
        <v>0.19972733373941395</v>
      </c>
      <c r="Z85">
        <f>Inputs!$I$8*G85*Inputs!$G$8</f>
        <v>0</v>
      </c>
      <c r="AA85">
        <f>Inputs!$I$9*H85*Inputs!$G$9</f>
        <v>0.16590779367943137</v>
      </c>
      <c r="AB85">
        <f t="shared" si="8"/>
        <v>0.71431929486912082</v>
      </c>
      <c r="AD85">
        <f>Inputs!$I$2*ABS(A85-1)*Inputs!$H$2</f>
        <v>3.0082304526748989E-2</v>
      </c>
      <c r="AE85">
        <f>Inputs!$I$3*ABS(B85-1)*Inputs!$H$3</f>
        <v>0</v>
      </c>
      <c r="AF85">
        <f>Inputs!$I$4*ABS(C85-1)*Inputs!$H$4</f>
        <v>0</v>
      </c>
      <c r="AG85">
        <f>Inputs!$I$5*ABS(D85-1)*Inputs!$H$5</f>
        <v>3.0032539984442563E-2</v>
      </c>
      <c r="AH85">
        <f>Inputs!$I$6*ABS(E85-1)*Inputs!$H$6</f>
        <v>6.4042485034184693E-2</v>
      </c>
      <c r="AI85">
        <f>Inputs!$I$7*ABS(F85-1)*Inputs!$H$7</f>
        <v>0</v>
      </c>
      <c r="AJ85">
        <f>Inputs!$I$8*ABS(G85-1)*Inputs!$H$8</f>
        <v>5.8391635937893226E-2</v>
      </c>
      <c r="AK85">
        <f>Inputs!$I$9*ABS(H85-1)*Inputs!$H$9</f>
        <v>0</v>
      </c>
      <c r="AL85">
        <f t="shared" si="12"/>
        <v>-0.18254896548326946</v>
      </c>
      <c r="AN85" s="1">
        <f t="shared" si="13"/>
        <v>0.53177032938585134</v>
      </c>
      <c r="AO85">
        <f t="shared" si="9"/>
        <v>2.1467501726015648E-3</v>
      </c>
      <c r="AP85">
        <f t="shared" si="10"/>
        <v>4.2567917972234524E-3</v>
      </c>
      <c r="AQ85" s="26">
        <f t="shared" si="14"/>
        <v>1.001722951519461</v>
      </c>
      <c r="AR85">
        <f t="shared" si="15"/>
        <v>-7.3694789179389031E-4</v>
      </c>
    </row>
    <row r="86" spans="1:44" x14ac:dyDescent="0.25">
      <c r="A86">
        <v>0</v>
      </c>
      <c r="B86">
        <v>1</v>
      </c>
      <c r="C86">
        <v>0</v>
      </c>
      <c r="D86">
        <v>1</v>
      </c>
      <c r="E86">
        <v>1</v>
      </c>
      <c r="F86">
        <v>1</v>
      </c>
      <c r="G86">
        <v>0</v>
      </c>
      <c r="H86">
        <v>1</v>
      </c>
      <c r="J86">
        <f>(A86*Inputs!$E$2+ABS((A86-1))*(1-Inputs!$E$2))</f>
        <v>0.35</v>
      </c>
      <c r="K86">
        <f>(B86*Inputs!$E$3+ABS((B86-1))*(1-Inputs!$E$3))</f>
        <v>0.65</v>
      </c>
      <c r="L86">
        <f>(C86*Inputs!$E$4+ABS((C86-1))*(1-Inputs!$E$4))</f>
        <v>0.35</v>
      </c>
      <c r="M86">
        <f>(D86*Inputs!$E$5+ABS((D86-1))*(1-Inputs!$E$5))</f>
        <v>0.65</v>
      </c>
      <c r="N86">
        <f>(E86*Inputs!$E$6+ABS((E86-1))*(1-Inputs!$E$6))</f>
        <v>0.6</v>
      </c>
      <c r="O86">
        <f>(F86*Inputs!$E$7+ABS((F86-1))*(1-Inputs!$E$7))</f>
        <v>0.75</v>
      </c>
      <c r="P86">
        <f>(G86*Inputs!$E$8+ABS((G86-1))*(1-Inputs!$E$8))</f>
        <v>0.4</v>
      </c>
      <c r="Q86">
        <f>(H86*Inputs!$E$9+ABS((H86-1))*(1-Inputs!$E$9))</f>
        <v>0.65</v>
      </c>
      <c r="R86">
        <f t="shared" si="11"/>
        <v>6.0554812500000004E-3</v>
      </c>
      <c r="T86">
        <f>Inputs!$I$2*A86*Inputs!$G$2</f>
        <v>0</v>
      </c>
      <c r="U86">
        <f>Inputs!$I$3*B86*Inputs!$G$3</f>
        <v>0.20645773829738062</v>
      </c>
      <c r="V86">
        <f>Inputs!$I$4*C86*Inputs!$G$4</f>
        <v>0</v>
      </c>
      <c r="W86">
        <f>Inputs!$I$5*D86*Inputs!$G$5</f>
        <v>0.20551679322687164</v>
      </c>
      <c r="X86">
        <f>Inputs!$I$6*E86*Inputs!$G$6</f>
        <v>0.37656981200100598</v>
      </c>
      <c r="Y86">
        <f>Inputs!$I$7*F86*Inputs!$G$7</f>
        <v>0.19972733373941395</v>
      </c>
      <c r="Z86">
        <f>Inputs!$I$8*G86*Inputs!$G$8</f>
        <v>0</v>
      </c>
      <c r="AA86">
        <f>Inputs!$I$9*H86*Inputs!$G$9</f>
        <v>0.16590779367943137</v>
      </c>
      <c r="AB86">
        <f t="shared" si="8"/>
        <v>1.1541794709441036</v>
      </c>
      <c r="AD86">
        <f>Inputs!$I$2*ABS(A86-1)*Inputs!$H$2</f>
        <v>3.0082304526748989E-2</v>
      </c>
      <c r="AE86">
        <f>Inputs!$I$3*ABS(B86-1)*Inputs!$H$3</f>
        <v>0</v>
      </c>
      <c r="AF86">
        <f>Inputs!$I$4*ABS(C86-1)*Inputs!$H$4</f>
        <v>8.9678988679000853E-3</v>
      </c>
      <c r="AG86">
        <f>Inputs!$I$5*ABS(D86-1)*Inputs!$H$5</f>
        <v>0</v>
      </c>
      <c r="AH86">
        <f>Inputs!$I$6*ABS(E86-1)*Inputs!$H$6</f>
        <v>0</v>
      </c>
      <c r="AI86">
        <f>Inputs!$I$7*ABS(F86-1)*Inputs!$H$7</f>
        <v>0</v>
      </c>
      <c r="AJ86">
        <f>Inputs!$I$8*ABS(G86-1)*Inputs!$H$8</f>
        <v>5.8391635937893226E-2</v>
      </c>
      <c r="AK86">
        <f>Inputs!$I$9*ABS(H86-1)*Inputs!$H$9</f>
        <v>0</v>
      </c>
      <c r="AL86">
        <f t="shared" si="12"/>
        <v>-9.7441839332542302E-2</v>
      </c>
      <c r="AN86" s="1">
        <f t="shared" si="13"/>
        <v>1.0567376316115613</v>
      </c>
      <c r="AO86">
        <f t="shared" si="9"/>
        <v>6.3990549143932169E-3</v>
      </c>
      <c r="AP86">
        <f t="shared" si="10"/>
        <v>1.5253713869430132E-3</v>
      </c>
      <c r="AQ86" s="26">
        <f t="shared" si="14"/>
        <v>1.0043762830986653</v>
      </c>
      <c r="AR86">
        <f t="shared" si="15"/>
        <v>-5.9005723104372252E-4</v>
      </c>
    </row>
    <row r="87" spans="1:44" x14ac:dyDescent="0.25">
      <c r="A87">
        <v>0</v>
      </c>
      <c r="B87">
        <v>1</v>
      </c>
      <c r="C87">
        <v>0</v>
      </c>
      <c r="D87">
        <v>1</v>
      </c>
      <c r="E87">
        <v>0</v>
      </c>
      <c r="F87">
        <v>1</v>
      </c>
      <c r="G87">
        <v>0</v>
      </c>
      <c r="H87">
        <v>1</v>
      </c>
      <c r="J87">
        <f>(A87*Inputs!$E$2+ABS((A87-1))*(1-Inputs!$E$2))</f>
        <v>0.35</v>
      </c>
      <c r="K87">
        <f>(B87*Inputs!$E$3+ABS((B87-1))*(1-Inputs!$E$3))</f>
        <v>0.65</v>
      </c>
      <c r="L87">
        <f>(C87*Inputs!$E$4+ABS((C87-1))*(1-Inputs!$E$4))</f>
        <v>0.35</v>
      </c>
      <c r="M87">
        <f>(D87*Inputs!$E$5+ABS((D87-1))*(1-Inputs!$E$5))</f>
        <v>0.65</v>
      </c>
      <c r="N87">
        <f>(E87*Inputs!$E$6+ABS((E87-1))*(1-Inputs!$E$6))</f>
        <v>0.4</v>
      </c>
      <c r="O87">
        <f>(F87*Inputs!$E$7+ABS((F87-1))*(1-Inputs!$E$7))</f>
        <v>0.75</v>
      </c>
      <c r="P87">
        <f>(G87*Inputs!$E$8+ABS((G87-1))*(1-Inputs!$E$8))</f>
        <v>0.4</v>
      </c>
      <c r="Q87">
        <f>(H87*Inputs!$E$9+ABS((H87-1))*(1-Inputs!$E$9))</f>
        <v>0.65</v>
      </c>
      <c r="R87">
        <f t="shared" si="11"/>
        <v>4.0369875000000003E-3</v>
      </c>
      <c r="T87">
        <f>Inputs!$I$2*A87*Inputs!$G$2</f>
        <v>0</v>
      </c>
      <c r="U87">
        <f>Inputs!$I$3*B87*Inputs!$G$3</f>
        <v>0.20645773829738062</v>
      </c>
      <c r="V87">
        <f>Inputs!$I$4*C87*Inputs!$G$4</f>
        <v>0</v>
      </c>
      <c r="W87">
        <f>Inputs!$I$5*D87*Inputs!$G$5</f>
        <v>0.20551679322687164</v>
      </c>
      <c r="X87">
        <f>Inputs!$I$6*E87*Inputs!$G$6</f>
        <v>0</v>
      </c>
      <c r="Y87">
        <f>Inputs!$I$7*F87*Inputs!$G$7</f>
        <v>0.19972733373941395</v>
      </c>
      <c r="Z87">
        <f>Inputs!$I$8*G87*Inputs!$G$8</f>
        <v>0</v>
      </c>
      <c r="AA87">
        <f>Inputs!$I$9*H87*Inputs!$G$9</f>
        <v>0.16590779367943137</v>
      </c>
      <c r="AB87">
        <f t="shared" si="8"/>
        <v>0.77760965894309764</v>
      </c>
      <c r="AD87">
        <f>Inputs!$I$2*ABS(A87-1)*Inputs!$H$2</f>
        <v>3.0082304526748989E-2</v>
      </c>
      <c r="AE87">
        <f>Inputs!$I$3*ABS(B87-1)*Inputs!$H$3</f>
        <v>0</v>
      </c>
      <c r="AF87">
        <f>Inputs!$I$4*ABS(C87-1)*Inputs!$H$4</f>
        <v>8.9678988679000853E-3</v>
      </c>
      <c r="AG87">
        <f>Inputs!$I$5*ABS(D87-1)*Inputs!$H$5</f>
        <v>0</v>
      </c>
      <c r="AH87">
        <f>Inputs!$I$6*ABS(E87-1)*Inputs!$H$6</f>
        <v>6.4042485034184693E-2</v>
      </c>
      <c r="AI87">
        <f>Inputs!$I$7*ABS(F87-1)*Inputs!$H$7</f>
        <v>0</v>
      </c>
      <c r="AJ87">
        <f>Inputs!$I$8*ABS(G87-1)*Inputs!$H$8</f>
        <v>5.8391635937893226E-2</v>
      </c>
      <c r="AK87">
        <f>Inputs!$I$9*ABS(H87-1)*Inputs!$H$9</f>
        <v>0</v>
      </c>
      <c r="AL87">
        <f t="shared" si="12"/>
        <v>-0.16148432436672699</v>
      </c>
      <c r="AN87" s="1">
        <f t="shared" si="13"/>
        <v>0.61612533457637064</v>
      </c>
      <c r="AO87">
        <f t="shared" si="9"/>
        <v>2.4872902741181263E-3</v>
      </c>
      <c r="AP87">
        <f t="shared" si="10"/>
        <v>3.5861420042497378E-3</v>
      </c>
      <c r="AQ87" s="26">
        <f t="shared" si="14"/>
        <v>1.001939760133479</v>
      </c>
      <c r="AR87">
        <f t="shared" si="15"/>
        <v>-6.5191019891442238E-4</v>
      </c>
    </row>
    <row r="88" spans="1:44" x14ac:dyDescent="0.25">
      <c r="A88">
        <v>0</v>
      </c>
      <c r="B88">
        <v>1</v>
      </c>
      <c r="C88">
        <v>0</v>
      </c>
      <c r="D88">
        <v>0</v>
      </c>
      <c r="E88">
        <v>1</v>
      </c>
      <c r="F88">
        <v>1</v>
      </c>
      <c r="G88">
        <v>0</v>
      </c>
      <c r="H88">
        <v>1</v>
      </c>
      <c r="J88">
        <f>(A88*Inputs!$E$2+ABS((A88-1))*(1-Inputs!$E$2))</f>
        <v>0.35</v>
      </c>
      <c r="K88">
        <f>(B88*Inputs!$E$3+ABS((B88-1))*(1-Inputs!$E$3))</f>
        <v>0.65</v>
      </c>
      <c r="L88">
        <f>(C88*Inputs!$E$4+ABS((C88-1))*(1-Inputs!$E$4))</f>
        <v>0.35</v>
      </c>
      <c r="M88">
        <f>(D88*Inputs!$E$5+ABS((D88-1))*(1-Inputs!$E$5))</f>
        <v>0.35</v>
      </c>
      <c r="N88">
        <f>(E88*Inputs!$E$6+ABS((E88-1))*(1-Inputs!$E$6))</f>
        <v>0.6</v>
      </c>
      <c r="O88">
        <f>(F88*Inputs!$E$7+ABS((F88-1))*(1-Inputs!$E$7))</f>
        <v>0.75</v>
      </c>
      <c r="P88">
        <f>(G88*Inputs!$E$8+ABS((G88-1))*(1-Inputs!$E$8))</f>
        <v>0.4</v>
      </c>
      <c r="Q88">
        <f>(H88*Inputs!$E$9+ABS((H88-1))*(1-Inputs!$E$9))</f>
        <v>0.65</v>
      </c>
      <c r="R88">
        <f t="shared" si="11"/>
        <v>3.2606437500000002E-3</v>
      </c>
      <c r="T88">
        <f>Inputs!$I$2*A88*Inputs!$G$2</f>
        <v>0</v>
      </c>
      <c r="U88">
        <f>Inputs!$I$3*B88*Inputs!$G$3</f>
        <v>0.20645773829738062</v>
      </c>
      <c r="V88">
        <f>Inputs!$I$4*C88*Inputs!$G$4</f>
        <v>0</v>
      </c>
      <c r="W88">
        <f>Inputs!$I$5*D88*Inputs!$G$5</f>
        <v>0</v>
      </c>
      <c r="X88">
        <f>Inputs!$I$6*E88*Inputs!$G$6</f>
        <v>0.37656981200100598</v>
      </c>
      <c r="Y88">
        <f>Inputs!$I$7*F88*Inputs!$G$7</f>
        <v>0.19972733373941395</v>
      </c>
      <c r="Z88">
        <f>Inputs!$I$8*G88*Inputs!$G$8</f>
        <v>0</v>
      </c>
      <c r="AA88">
        <f>Inputs!$I$9*H88*Inputs!$G$9</f>
        <v>0.16590779367943137</v>
      </c>
      <c r="AB88">
        <f t="shared" si="8"/>
        <v>0.94866267771723201</v>
      </c>
      <c r="AD88">
        <f>Inputs!$I$2*ABS(A88-1)*Inputs!$H$2</f>
        <v>3.0082304526748989E-2</v>
      </c>
      <c r="AE88">
        <f>Inputs!$I$3*ABS(B88-1)*Inputs!$H$3</f>
        <v>0</v>
      </c>
      <c r="AF88">
        <f>Inputs!$I$4*ABS(C88-1)*Inputs!$H$4</f>
        <v>8.9678988679000853E-3</v>
      </c>
      <c r="AG88">
        <f>Inputs!$I$5*ABS(D88-1)*Inputs!$H$5</f>
        <v>3.0032539984442563E-2</v>
      </c>
      <c r="AH88">
        <f>Inputs!$I$6*ABS(E88-1)*Inputs!$H$6</f>
        <v>0</v>
      </c>
      <c r="AI88">
        <f>Inputs!$I$7*ABS(F88-1)*Inputs!$H$7</f>
        <v>0</v>
      </c>
      <c r="AJ88">
        <f>Inputs!$I$8*ABS(G88-1)*Inputs!$H$8</f>
        <v>5.8391635937893226E-2</v>
      </c>
      <c r="AK88">
        <f>Inputs!$I$9*ABS(H88-1)*Inputs!$H$9</f>
        <v>0</v>
      </c>
      <c r="AL88">
        <f t="shared" si="12"/>
        <v>-0.12747437931698485</v>
      </c>
      <c r="AN88" s="1">
        <f t="shared" si="13"/>
        <v>0.82118829840024721</v>
      </c>
      <c r="AO88">
        <f t="shared" si="9"/>
        <v>2.6776024927519012E-3</v>
      </c>
      <c r="AP88">
        <f t="shared" si="10"/>
        <v>1.7732201148061737E-3</v>
      </c>
      <c r="AQ88" s="26">
        <f t="shared" si="14"/>
        <v>1.0019566324226534</v>
      </c>
      <c r="AR88">
        <f t="shared" si="15"/>
        <v>-4.1564853820505595E-4</v>
      </c>
    </row>
    <row r="89" spans="1:44" x14ac:dyDescent="0.25">
      <c r="A89">
        <v>0</v>
      </c>
      <c r="B89">
        <v>1</v>
      </c>
      <c r="C89">
        <v>0</v>
      </c>
      <c r="D89">
        <v>0</v>
      </c>
      <c r="E89">
        <v>0</v>
      </c>
      <c r="F89">
        <v>1</v>
      </c>
      <c r="G89">
        <v>0</v>
      </c>
      <c r="H89">
        <v>1</v>
      </c>
      <c r="J89">
        <f>(A89*Inputs!$E$2+ABS((A89-1))*(1-Inputs!$E$2))</f>
        <v>0.35</v>
      </c>
      <c r="K89">
        <f>(B89*Inputs!$E$3+ABS((B89-1))*(1-Inputs!$E$3))</f>
        <v>0.65</v>
      </c>
      <c r="L89">
        <f>(C89*Inputs!$E$4+ABS((C89-1))*(1-Inputs!$E$4))</f>
        <v>0.35</v>
      </c>
      <c r="M89">
        <f>(D89*Inputs!$E$5+ABS((D89-1))*(1-Inputs!$E$5))</f>
        <v>0.35</v>
      </c>
      <c r="N89">
        <f>(E89*Inputs!$E$6+ABS((E89-1))*(1-Inputs!$E$6))</f>
        <v>0.4</v>
      </c>
      <c r="O89">
        <f>(F89*Inputs!$E$7+ABS((F89-1))*(1-Inputs!$E$7))</f>
        <v>0.75</v>
      </c>
      <c r="P89">
        <f>(G89*Inputs!$E$8+ABS((G89-1))*(1-Inputs!$E$8))</f>
        <v>0.4</v>
      </c>
      <c r="Q89">
        <f>(H89*Inputs!$E$9+ABS((H89-1))*(1-Inputs!$E$9))</f>
        <v>0.65</v>
      </c>
      <c r="R89">
        <f t="shared" si="11"/>
        <v>2.1737624999999998E-3</v>
      </c>
      <c r="T89">
        <f>Inputs!$I$2*A89*Inputs!$G$2</f>
        <v>0</v>
      </c>
      <c r="U89">
        <f>Inputs!$I$3*B89*Inputs!$G$3</f>
        <v>0.20645773829738062</v>
      </c>
      <c r="V89">
        <f>Inputs!$I$4*C89*Inputs!$G$4</f>
        <v>0</v>
      </c>
      <c r="W89">
        <f>Inputs!$I$5*D89*Inputs!$G$5</f>
        <v>0</v>
      </c>
      <c r="X89">
        <f>Inputs!$I$6*E89*Inputs!$G$6</f>
        <v>0</v>
      </c>
      <c r="Y89">
        <f>Inputs!$I$7*F89*Inputs!$G$7</f>
        <v>0.19972733373941395</v>
      </c>
      <c r="Z89">
        <f>Inputs!$I$8*G89*Inputs!$G$8</f>
        <v>0</v>
      </c>
      <c r="AA89">
        <f>Inputs!$I$9*H89*Inputs!$G$9</f>
        <v>0.16590779367943137</v>
      </c>
      <c r="AB89">
        <f t="shared" si="8"/>
        <v>0.57209286571622586</v>
      </c>
      <c r="AD89">
        <f>Inputs!$I$2*ABS(A89-1)*Inputs!$H$2</f>
        <v>3.0082304526748989E-2</v>
      </c>
      <c r="AE89">
        <f>Inputs!$I$3*ABS(B89-1)*Inputs!$H$3</f>
        <v>0</v>
      </c>
      <c r="AF89">
        <f>Inputs!$I$4*ABS(C89-1)*Inputs!$H$4</f>
        <v>8.9678988679000853E-3</v>
      </c>
      <c r="AG89">
        <f>Inputs!$I$5*ABS(D89-1)*Inputs!$H$5</f>
        <v>3.0032539984442563E-2</v>
      </c>
      <c r="AH89">
        <f>Inputs!$I$6*ABS(E89-1)*Inputs!$H$6</f>
        <v>6.4042485034184693E-2</v>
      </c>
      <c r="AI89">
        <f>Inputs!$I$7*ABS(F89-1)*Inputs!$H$7</f>
        <v>0</v>
      </c>
      <c r="AJ89">
        <f>Inputs!$I$8*ABS(G89-1)*Inputs!$H$8</f>
        <v>5.8391635937893226E-2</v>
      </c>
      <c r="AK89">
        <f>Inputs!$I$9*ABS(H89-1)*Inputs!$H$9</f>
        <v>0</v>
      </c>
      <c r="AL89">
        <f t="shared" si="12"/>
        <v>-0.19151686435116957</v>
      </c>
      <c r="AN89" s="1">
        <f t="shared" si="13"/>
        <v>0.38057600136505632</v>
      </c>
      <c r="AO89">
        <f t="shared" si="9"/>
        <v>8.2728184016730814E-4</v>
      </c>
      <c r="AP89">
        <f t="shared" si="10"/>
        <v>3.0167890055000186E-3</v>
      </c>
      <c r="AQ89" s="26">
        <f t="shared" si="14"/>
        <v>1.0007012859408595</v>
      </c>
      <c r="AR89">
        <f t="shared" si="15"/>
        <v>-4.1631217784415922E-4</v>
      </c>
    </row>
    <row r="90" spans="1:44" x14ac:dyDescent="0.25">
      <c r="A90">
        <v>0</v>
      </c>
      <c r="B90">
        <v>0</v>
      </c>
      <c r="C90">
        <v>1</v>
      </c>
      <c r="D90">
        <v>1</v>
      </c>
      <c r="E90">
        <v>1</v>
      </c>
      <c r="F90">
        <v>1</v>
      </c>
      <c r="G90">
        <v>0</v>
      </c>
      <c r="H90">
        <v>1</v>
      </c>
      <c r="J90">
        <f>(A90*Inputs!$E$2+ABS((A90-1))*(1-Inputs!$E$2))</f>
        <v>0.35</v>
      </c>
      <c r="K90">
        <f>(B90*Inputs!$E$3+ABS((B90-1))*(1-Inputs!$E$3))</f>
        <v>0.35</v>
      </c>
      <c r="L90">
        <f>(C90*Inputs!$E$4+ABS((C90-1))*(1-Inputs!$E$4))</f>
        <v>0.65</v>
      </c>
      <c r="M90">
        <f>(D90*Inputs!$E$5+ABS((D90-1))*(1-Inputs!$E$5))</f>
        <v>0.65</v>
      </c>
      <c r="N90">
        <f>(E90*Inputs!$E$6+ABS((E90-1))*(1-Inputs!$E$6))</f>
        <v>0.6</v>
      </c>
      <c r="O90">
        <f>(F90*Inputs!$E$7+ABS((F90-1))*(1-Inputs!$E$7))</f>
        <v>0.75</v>
      </c>
      <c r="P90">
        <f>(G90*Inputs!$E$8+ABS((G90-1))*(1-Inputs!$E$8))</f>
        <v>0.4</v>
      </c>
      <c r="Q90">
        <f>(H90*Inputs!$E$9+ABS((H90-1))*(1-Inputs!$E$9))</f>
        <v>0.65</v>
      </c>
      <c r="R90">
        <f t="shared" si="11"/>
        <v>6.0554812500000004E-3</v>
      </c>
      <c r="T90">
        <f>Inputs!$I$2*A90*Inputs!$G$2</f>
        <v>0</v>
      </c>
      <c r="U90">
        <f>Inputs!$I$3*B90*Inputs!$G$3</f>
        <v>0</v>
      </c>
      <c r="V90">
        <f>Inputs!$I$4*C90*Inputs!$G$4</f>
        <v>0.1422264291528948</v>
      </c>
      <c r="W90">
        <f>Inputs!$I$5*D90*Inputs!$G$5</f>
        <v>0.20551679322687164</v>
      </c>
      <c r="X90">
        <f>Inputs!$I$6*E90*Inputs!$G$6</f>
        <v>0.37656981200100598</v>
      </c>
      <c r="Y90">
        <f>Inputs!$I$7*F90*Inputs!$G$7</f>
        <v>0.19972733373941395</v>
      </c>
      <c r="Z90">
        <f>Inputs!$I$8*G90*Inputs!$G$8</f>
        <v>0</v>
      </c>
      <c r="AA90">
        <f>Inputs!$I$9*H90*Inputs!$G$9</f>
        <v>0.16590779367943137</v>
      </c>
      <c r="AB90">
        <f t="shared" si="8"/>
        <v>1.0899481617996178</v>
      </c>
      <c r="AD90">
        <f>Inputs!$I$2*ABS(A90-1)*Inputs!$H$2</f>
        <v>3.0082304526748989E-2</v>
      </c>
      <c r="AE90">
        <f>Inputs!$I$3*ABS(B90-1)*Inputs!$H$3</f>
        <v>1.1405796839520112E-2</v>
      </c>
      <c r="AF90">
        <f>Inputs!$I$4*ABS(C90-1)*Inputs!$H$4</f>
        <v>0</v>
      </c>
      <c r="AG90">
        <f>Inputs!$I$5*ABS(D90-1)*Inputs!$H$5</f>
        <v>0</v>
      </c>
      <c r="AH90">
        <f>Inputs!$I$6*ABS(E90-1)*Inputs!$H$6</f>
        <v>0</v>
      </c>
      <c r="AI90">
        <f>Inputs!$I$7*ABS(F90-1)*Inputs!$H$7</f>
        <v>0</v>
      </c>
      <c r="AJ90">
        <f>Inputs!$I$8*ABS(G90-1)*Inputs!$H$8</f>
        <v>5.8391635937893226E-2</v>
      </c>
      <c r="AK90">
        <f>Inputs!$I$9*ABS(H90-1)*Inputs!$H$9</f>
        <v>0</v>
      </c>
      <c r="AL90">
        <f t="shared" si="12"/>
        <v>-9.987973730416233E-2</v>
      </c>
      <c r="AN90" s="1">
        <f t="shared" si="13"/>
        <v>0.99006842449545551</v>
      </c>
      <c r="AO90">
        <f t="shared" si="9"/>
        <v>5.9953407807492717E-3</v>
      </c>
      <c r="AP90">
        <f t="shared" si="10"/>
        <v>1.957531455200803E-3</v>
      </c>
      <c r="AQ90" s="26">
        <f t="shared" si="14"/>
        <v>1.0041758894404034</v>
      </c>
      <c r="AR90">
        <f t="shared" si="15"/>
        <v>-6.048198765002806E-4</v>
      </c>
    </row>
    <row r="91" spans="1:44" x14ac:dyDescent="0.25">
      <c r="A91">
        <v>0</v>
      </c>
      <c r="B91">
        <v>0</v>
      </c>
      <c r="C91">
        <v>1</v>
      </c>
      <c r="D91">
        <v>1</v>
      </c>
      <c r="E91">
        <v>0</v>
      </c>
      <c r="F91">
        <v>1</v>
      </c>
      <c r="G91">
        <v>0</v>
      </c>
      <c r="H91">
        <v>1</v>
      </c>
      <c r="J91">
        <f>(A91*Inputs!$E$2+ABS((A91-1))*(1-Inputs!$E$2))</f>
        <v>0.35</v>
      </c>
      <c r="K91">
        <f>(B91*Inputs!$E$3+ABS((B91-1))*(1-Inputs!$E$3))</f>
        <v>0.35</v>
      </c>
      <c r="L91">
        <f>(C91*Inputs!$E$4+ABS((C91-1))*(1-Inputs!$E$4))</f>
        <v>0.65</v>
      </c>
      <c r="M91">
        <f>(D91*Inputs!$E$5+ABS((D91-1))*(1-Inputs!$E$5))</f>
        <v>0.65</v>
      </c>
      <c r="N91">
        <f>(E91*Inputs!$E$6+ABS((E91-1))*(1-Inputs!$E$6))</f>
        <v>0.4</v>
      </c>
      <c r="O91">
        <f>(F91*Inputs!$E$7+ABS((F91-1))*(1-Inputs!$E$7))</f>
        <v>0.75</v>
      </c>
      <c r="P91">
        <f>(G91*Inputs!$E$8+ABS((G91-1))*(1-Inputs!$E$8))</f>
        <v>0.4</v>
      </c>
      <c r="Q91">
        <f>(H91*Inputs!$E$9+ABS((H91-1))*(1-Inputs!$E$9))</f>
        <v>0.65</v>
      </c>
      <c r="R91">
        <f t="shared" si="11"/>
        <v>4.0369875000000003E-3</v>
      </c>
      <c r="T91">
        <f>Inputs!$I$2*A91*Inputs!$G$2</f>
        <v>0</v>
      </c>
      <c r="U91">
        <f>Inputs!$I$3*B91*Inputs!$G$3</f>
        <v>0</v>
      </c>
      <c r="V91">
        <f>Inputs!$I$4*C91*Inputs!$G$4</f>
        <v>0.1422264291528948</v>
      </c>
      <c r="W91">
        <f>Inputs!$I$5*D91*Inputs!$G$5</f>
        <v>0.20551679322687164</v>
      </c>
      <c r="X91">
        <f>Inputs!$I$6*E91*Inputs!$G$6</f>
        <v>0</v>
      </c>
      <c r="Y91">
        <f>Inputs!$I$7*F91*Inputs!$G$7</f>
        <v>0.19972733373941395</v>
      </c>
      <c r="Z91">
        <f>Inputs!$I$8*G91*Inputs!$G$8</f>
        <v>0</v>
      </c>
      <c r="AA91">
        <f>Inputs!$I$9*H91*Inputs!$G$9</f>
        <v>0.16590779367943137</v>
      </c>
      <c r="AB91">
        <f t="shared" si="8"/>
        <v>0.7133783497986117</v>
      </c>
      <c r="AD91">
        <f>Inputs!$I$2*ABS(A91-1)*Inputs!$H$2</f>
        <v>3.0082304526748989E-2</v>
      </c>
      <c r="AE91">
        <f>Inputs!$I$3*ABS(B91-1)*Inputs!$H$3</f>
        <v>1.1405796839520112E-2</v>
      </c>
      <c r="AF91">
        <f>Inputs!$I$4*ABS(C91-1)*Inputs!$H$4</f>
        <v>0</v>
      </c>
      <c r="AG91">
        <f>Inputs!$I$5*ABS(D91-1)*Inputs!$H$5</f>
        <v>0</v>
      </c>
      <c r="AH91">
        <f>Inputs!$I$6*ABS(E91-1)*Inputs!$H$6</f>
        <v>6.4042485034184693E-2</v>
      </c>
      <c r="AI91">
        <f>Inputs!$I$7*ABS(F91-1)*Inputs!$H$7</f>
        <v>0</v>
      </c>
      <c r="AJ91">
        <f>Inputs!$I$8*ABS(G91-1)*Inputs!$H$8</f>
        <v>5.8391635937893226E-2</v>
      </c>
      <c r="AK91">
        <f>Inputs!$I$9*ABS(H91-1)*Inputs!$H$9</f>
        <v>0</v>
      </c>
      <c r="AL91">
        <f t="shared" si="12"/>
        <v>-0.16392222233834702</v>
      </c>
      <c r="AN91" s="1">
        <f t="shared" si="13"/>
        <v>0.54945612746026473</v>
      </c>
      <c r="AO91">
        <f t="shared" si="9"/>
        <v>2.2181475183554954E-3</v>
      </c>
      <c r="AP91">
        <f t="shared" si="10"/>
        <v>4.1114239321155066E-3</v>
      </c>
      <c r="AQ91" s="26">
        <f t="shared" si="14"/>
        <v>1.0017693764114217</v>
      </c>
      <c r="AR91">
        <f t="shared" si="15"/>
        <v>-6.6175196255212777E-4</v>
      </c>
    </row>
    <row r="92" spans="1:44" x14ac:dyDescent="0.25">
      <c r="A92">
        <v>0</v>
      </c>
      <c r="B92">
        <v>0</v>
      </c>
      <c r="C92">
        <v>1</v>
      </c>
      <c r="D92">
        <v>0</v>
      </c>
      <c r="E92">
        <v>1</v>
      </c>
      <c r="F92">
        <v>1</v>
      </c>
      <c r="G92">
        <v>0</v>
      </c>
      <c r="H92">
        <v>1</v>
      </c>
      <c r="J92">
        <f>(A92*Inputs!$E$2+ABS((A92-1))*(1-Inputs!$E$2))</f>
        <v>0.35</v>
      </c>
      <c r="K92">
        <f>(B92*Inputs!$E$3+ABS((B92-1))*(1-Inputs!$E$3))</f>
        <v>0.35</v>
      </c>
      <c r="L92">
        <f>(C92*Inputs!$E$4+ABS((C92-1))*(1-Inputs!$E$4))</f>
        <v>0.65</v>
      </c>
      <c r="M92">
        <f>(D92*Inputs!$E$5+ABS((D92-1))*(1-Inputs!$E$5))</f>
        <v>0.35</v>
      </c>
      <c r="N92">
        <f>(E92*Inputs!$E$6+ABS((E92-1))*(1-Inputs!$E$6))</f>
        <v>0.6</v>
      </c>
      <c r="O92">
        <f>(F92*Inputs!$E$7+ABS((F92-1))*(1-Inputs!$E$7))</f>
        <v>0.75</v>
      </c>
      <c r="P92">
        <f>(G92*Inputs!$E$8+ABS((G92-1))*(1-Inputs!$E$8))</f>
        <v>0.4</v>
      </c>
      <c r="Q92">
        <f>(H92*Inputs!$E$9+ABS((H92-1))*(1-Inputs!$E$9))</f>
        <v>0.65</v>
      </c>
      <c r="R92">
        <f t="shared" si="11"/>
        <v>3.2606437500000002E-3</v>
      </c>
      <c r="T92">
        <f>Inputs!$I$2*A92*Inputs!$G$2</f>
        <v>0</v>
      </c>
      <c r="U92">
        <f>Inputs!$I$3*B92*Inputs!$G$3</f>
        <v>0</v>
      </c>
      <c r="V92">
        <f>Inputs!$I$4*C92*Inputs!$G$4</f>
        <v>0.1422264291528948</v>
      </c>
      <c r="W92">
        <f>Inputs!$I$5*D92*Inputs!$G$5</f>
        <v>0</v>
      </c>
      <c r="X92">
        <f>Inputs!$I$6*E92*Inputs!$G$6</f>
        <v>0.37656981200100598</v>
      </c>
      <c r="Y92">
        <f>Inputs!$I$7*F92*Inputs!$G$7</f>
        <v>0.19972733373941395</v>
      </c>
      <c r="Z92">
        <f>Inputs!$I$8*G92*Inputs!$G$8</f>
        <v>0</v>
      </c>
      <c r="AA92">
        <f>Inputs!$I$9*H92*Inputs!$G$9</f>
        <v>0.16590779367943137</v>
      </c>
      <c r="AB92">
        <f t="shared" si="8"/>
        <v>0.88443136857274607</v>
      </c>
      <c r="AD92">
        <f>Inputs!$I$2*ABS(A92-1)*Inputs!$H$2</f>
        <v>3.0082304526748989E-2</v>
      </c>
      <c r="AE92">
        <f>Inputs!$I$3*ABS(B92-1)*Inputs!$H$3</f>
        <v>1.1405796839520112E-2</v>
      </c>
      <c r="AF92">
        <f>Inputs!$I$4*ABS(C92-1)*Inputs!$H$4</f>
        <v>0</v>
      </c>
      <c r="AG92">
        <f>Inputs!$I$5*ABS(D92-1)*Inputs!$H$5</f>
        <v>3.0032539984442563E-2</v>
      </c>
      <c r="AH92">
        <f>Inputs!$I$6*ABS(E92-1)*Inputs!$H$6</f>
        <v>0</v>
      </c>
      <c r="AI92">
        <f>Inputs!$I$7*ABS(F92-1)*Inputs!$H$7</f>
        <v>0</v>
      </c>
      <c r="AJ92">
        <f>Inputs!$I$8*ABS(G92-1)*Inputs!$H$8</f>
        <v>5.8391635937893226E-2</v>
      </c>
      <c r="AK92">
        <f>Inputs!$I$9*ABS(H92-1)*Inputs!$H$9</f>
        <v>0</v>
      </c>
      <c r="AL92">
        <f t="shared" si="12"/>
        <v>-0.12991227728860488</v>
      </c>
      <c r="AN92" s="1">
        <f t="shared" si="13"/>
        <v>0.75451909128414119</v>
      </c>
      <c r="AO92">
        <f t="shared" si="9"/>
        <v>2.4602179592513145E-3</v>
      </c>
      <c r="AP92">
        <f t="shared" si="10"/>
        <v>2.1083312538549394E-3</v>
      </c>
      <c r="AQ92" s="26">
        <f t="shared" si="14"/>
        <v>1.0018347981381137</v>
      </c>
      <c r="AR92">
        <f t="shared" si="15"/>
        <v>-4.2359765498935648E-4</v>
      </c>
    </row>
    <row r="93" spans="1:44" x14ac:dyDescent="0.25">
      <c r="A93">
        <v>0</v>
      </c>
      <c r="B93">
        <v>0</v>
      </c>
      <c r="C93">
        <v>1</v>
      </c>
      <c r="D93">
        <v>0</v>
      </c>
      <c r="E93">
        <v>0</v>
      </c>
      <c r="F93">
        <v>1</v>
      </c>
      <c r="G93">
        <v>0</v>
      </c>
      <c r="H93">
        <v>1</v>
      </c>
      <c r="J93">
        <f>(A93*Inputs!$E$2+ABS((A93-1))*(1-Inputs!$E$2))</f>
        <v>0.35</v>
      </c>
      <c r="K93">
        <f>(B93*Inputs!$E$3+ABS((B93-1))*(1-Inputs!$E$3))</f>
        <v>0.35</v>
      </c>
      <c r="L93">
        <f>(C93*Inputs!$E$4+ABS((C93-1))*(1-Inputs!$E$4))</f>
        <v>0.65</v>
      </c>
      <c r="M93">
        <f>(D93*Inputs!$E$5+ABS((D93-1))*(1-Inputs!$E$5))</f>
        <v>0.35</v>
      </c>
      <c r="N93">
        <f>(E93*Inputs!$E$6+ABS((E93-1))*(1-Inputs!$E$6))</f>
        <v>0.4</v>
      </c>
      <c r="O93">
        <f>(F93*Inputs!$E$7+ABS((F93-1))*(1-Inputs!$E$7))</f>
        <v>0.75</v>
      </c>
      <c r="P93">
        <f>(G93*Inputs!$E$8+ABS((G93-1))*(1-Inputs!$E$8))</f>
        <v>0.4</v>
      </c>
      <c r="Q93">
        <f>(H93*Inputs!$E$9+ABS((H93-1))*(1-Inputs!$E$9))</f>
        <v>0.65</v>
      </c>
      <c r="R93">
        <f t="shared" si="11"/>
        <v>2.1737624999999998E-3</v>
      </c>
      <c r="T93">
        <f>Inputs!$I$2*A93*Inputs!$G$2</f>
        <v>0</v>
      </c>
      <c r="U93">
        <f>Inputs!$I$3*B93*Inputs!$G$3</f>
        <v>0</v>
      </c>
      <c r="V93">
        <f>Inputs!$I$4*C93*Inputs!$G$4</f>
        <v>0.1422264291528948</v>
      </c>
      <c r="W93">
        <f>Inputs!$I$5*D93*Inputs!$G$5</f>
        <v>0</v>
      </c>
      <c r="X93">
        <f>Inputs!$I$6*E93*Inputs!$G$6</f>
        <v>0</v>
      </c>
      <c r="Y93">
        <f>Inputs!$I$7*F93*Inputs!$G$7</f>
        <v>0.19972733373941395</v>
      </c>
      <c r="Z93">
        <f>Inputs!$I$8*G93*Inputs!$G$8</f>
        <v>0</v>
      </c>
      <c r="AA93">
        <f>Inputs!$I$9*H93*Inputs!$G$9</f>
        <v>0.16590779367943137</v>
      </c>
      <c r="AB93">
        <f t="shared" si="8"/>
        <v>0.50786155657174015</v>
      </c>
      <c r="AD93">
        <f>Inputs!$I$2*ABS(A93-1)*Inputs!$H$2</f>
        <v>3.0082304526748989E-2</v>
      </c>
      <c r="AE93">
        <f>Inputs!$I$3*ABS(B93-1)*Inputs!$H$3</f>
        <v>1.1405796839520112E-2</v>
      </c>
      <c r="AF93">
        <f>Inputs!$I$4*ABS(C93-1)*Inputs!$H$4</f>
        <v>0</v>
      </c>
      <c r="AG93">
        <f>Inputs!$I$5*ABS(D93-1)*Inputs!$H$5</f>
        <v>3.0032539984442563E-2</v>
      </c>
      <c r="AH93">
        <f>Inputs!$I$6*ABS(E93-1)*Inputs!$H$6</f>
        <v>6.4042485034184693E-2</v>
      </c>
      <c r="AI93">
        <f>Inputs!$I$7*ABS(F93-1)*Inputs!$H$7</f>
        <v>0</v>
      </c>
      <c r="AJ93">
        <f>Inputs!$I$8*ABS(G93-1)*Inputs!$H$8</f>
        <v>5.8391635937893226E-2</v>
      </c>
      <c r="AK93">
        <f>Inputs!$I$9*ABS(H93-1)*Inputs!$H$9</f>
        <v>0</v>
      </c>
      <c r="AL93">
        <f t="shared" si="12"/>
        <v>-0.1939547623227896</v>
      </c>
      <c r="AN93" s="1">
        <f t="shared" si="13"/>
        <v>0.31390679424895052</v>
      </c>
      <c r="AO93">
        <f t="shared" si="9"/>
        <v>6.8235881783358426E-4</v>
      </c>
      <c r="AP93">
        <f t="shared" si="10"/>
        <v>3.3679061630600172E-3</v>
      </c>
      <c r="AQ93" s="26">
        <f t="shared" si="14"/>
        <v>1.0005936241231712</v>
      </c>
      <c r="AR93">
        <f t="shared" si="15"/>
        <v>-4.2161158903369293E-4</v>
      </c>
    </row>
    <row r="94" spans="1:44" x14ac:dyDescent="0.25">
      <c r="A94">
        <v>0</v>
      </c>
      <c r="B94">
        <v>0</v>
      </c>
      <c r="C94">
        <v>0</v>
      </c>
      <c r="D94">
        <v>1</v>
      </c>
      <c r="E94">
        <v>1</v>
      </c>
      <c r="F94">
        <v>1</v>
      </c>
      <c r="G94">
        <v>0</v>
      </c>
      <c r="H94">
        <v>1</v>
      </c>
      <c r="J94">
        <f>(A94*Inputs!$E$2+ABS((A94-1))*(1-Inputs!$E$2))</f>
        <v>0.35</v>
      </c>
      <c r="K94">
        <f>(B94*Inputs!$E$3+ABS((B94-1))*(1-Inputs!$E$3))</f>
        <v>0.35</v>
      </c>
      <c r="L94">
        <f>(C94*Inputs!$E$4+ABS((C94-1))*(1-Inputs!$E$4))</f>
        <v>0.35</v>
      </c>
      <c r="M94">
        <f>(D94*Inputs!$E$5+ABS((D94-1))*(1-Inputs!$E$5))</f>
        <v>0.65</v>
      </c>
      <c r="N94">
        <f>(E94*Inputs!$E$6+ABS((E94-1))*(1-Inputs!$E$6))</f>
        <v>0.6</v>
      </c>
      <c r="O94">
        <f>(F94*Inputs!$E$7+ABS((F94-1))*(1-Inputs!$E$7))</f>
        <v>0.75</v>
      </c>
      <c r="P94">
        <f>(G94*Inputs!$E$8+ABS((G94-1))*(1-Inputs!$E$8))</f>
        <v>0.4</v>
      </c>
      <c r="Q94">
        <f>(H94*Inputs!$E$9+ABS((H94-1))*(1-Inputs!$E$9))</f>
        <v>0.65</v>
      </c>
      <c r="R94">
        <f t="shared" si="11"/>
        <v>3.2606437500000002E-3</v>
      </c>
      <c r="T94">
        <f>Inputs!$I$2*A94*Inputs!$G$2</f>
        <v>0</v>
      </c>
      <c r="U94">
        <f>Inputs!$I$3*B94*Inputs!$G$3</f>
        <v>0</v>
      </c>
      <c r="V94">
        <f>Inputs!$I$4*C94*Inputs!$G$4</f>
        <v>0</v>
      </c>
      <c r="W94">
        <f>Inputs!$I$5*D94*Inputs!$G$5</f>
        <v>0.20551679322687164</v>
      </c>
      <c r="X94">
        <f>Inputs!$I$6*E94*Inputs!$G$6</f>
        <v>0.37656981200100598</v>
      </c>
      <c r="Y94">
        <f>Inputs!$I$7*F94*Inputs!$G$7</f>
        <v>0.19972733373941395</v>
      </c>
      <c r="Z94">
        <f>Inputs!$I$8*G94*Inputs!$G$8</f>
        <v>0</v>
      </c>
      <c r="AA94">
        <f>Inputs!$I$9*H94*Inputs!$G$9</f>
        <v>0.16590779367943137</v>
      </c>
      <c r="AB94">
        <f t="shared" si="8"/>
        <v>0.94772173264672288</v>
      </c>
      <c r="AD94">
        <f>Inputs!$I$2*ABS(A94-1)*Inputs!$H$2</f>
        <v>3.0082304526748989E-2</v>
      </c>
      <c r="AE94">
        <f>Inputs!$I$3*ABS(B94-1)*Inputs!$H$3</f>
        <v>1.1405796839520112E-2</v>
      </c>
      <c r="AF94">
        <f>Inputs!$I$4*ABS(C94-1)*Inputs!$H$4</f>
        <v>8.9678988679000853E-3</v>
      </c>
      <c r="AG94">
        <f>Inputs!$I$5*ABS(D94-1)*Inputs!$H$5</f>
        <v>0</v>
      </c>
      <c r="AH94">
        <f>Inputs!$I$6*ABS(E94-1)*Inputs!$H$6</f>
        <v>0</v>
      </c>
      <c r="AI94">
        <f>Inputs!$I$7*ABS(F94-1)*Inputs!$H$7</f>
        <v>0</v>
      </c>
      <c r="AJ94">
        <f>Inputs!$I$8*ABS(G94-1)*Inputs!$H$8</f>
        <v>5.8391635937893226E-2</v>
      </c>
      <c r="AK94">
        <f>Inputs!$I$9*ABS(H94-1)*Inputs!$H$9</f>
        <v>0</v>
      </c>
      <c r="AL94">
        <f t="shared" si="12"/>
        <v>-0.10884763617206242</v>
      </c>
      <c r="AN94" s="1">
        <f t="shared" si="13"/>
        <v>0.83887409647466049</v>
      </c>
      <c r="AO94">
        <f t="shared" si="9"/>
        <v>2.7352695797069988E-3</v>
      </c>
      <c r="AP94">
        <f t="shared" si="10"/>
        <v>1.689187390743875E-3</v>
      </c>
      <c r="AQ94" s="26">
        <f t="shared" si="14"/>
        <v>1.0019882063545242</v>
      </c>
      <c r="AR94">
        <f t="shared" si="15"/>
        <v>-3.5491336458670929E-4</v>
      </c>
    </row>
    <row r="95" spans="1:44" x14ac:dyDescent="0.25">
      <c r="A95">
        <v>0</v>
      </c>
      <c r="B95">
        <v>0</v>
      </c>
      <c r="C95">
        <v>0</v>
      </c>
      <c r="D95">
        <v>1</v>
      </c>
      <c r="E95">
        <v>0</v>
      </c>
      <c r="F95">
        <v>1</v>
      </c>
      <c r="G95">
        <v>0</v>
      </c>
      <c r="H95">
        <v>1</v>
      </c>
      <c r="J95">
        <f>(A95*Inputs!$E$2+ABS((A95-1))*(1-Inputs!$E$2))</f>
        <v>0.35</v>
      </c>
      <c r="K95">
        <f>(B95*Inputs!$E$3+ABS((B95-1))*(1-Inputs!$E$3))</f>
        <v>0.35</v>
      </c>
      <c r="L95">
        <f>(C95*Inputs!$E$4+ABS((C95-1))*(1-Inputs!$E$4))</f>
        <v>0.35</v>
      </c>
      <c r="M95">
        <f>(D95*Inputs!$E$5+ABS((D95-1))*(1-Inputs!$E$5))</f>
        <v>0.65</v>
      </c>
      <c r="N95">
        <f>(E95*Inputs!$E$6+ABS((E95-1))*(1-Inputs!$E$6))</f>
        <v>0.4</v>
      </c>
      <c r="O95">
        <f>(F95*Inputs!$E$7+ABS((F95-1))*(1-Inputs!$E$7))</f>
        <v>0.75</v>
      </c>
      <c r="P95">
        <f>(G95*Inputs!$E$8+ABS((G95-1))*(1-Inputs!$E$8))</f>
        <v>0.4</v>
      </c>
      <c r="Q95">
        <f>(H95*Inputs!$E$9+ABS((H95-1))*(1-Inputs!$E$9))</f>
        <v>0.65</v>
      </c>
      <c r="R95">
        <f t="shared" si="11"/>
        <v>2.1737624999999998E-3</v>
      </c>
      <c r="T95">
        <f>Inputs!$I$2*A95*Inputs!$G$2</f>
        <v>0</v>
      </c>
      <c r="U95">
        <f>Inputs!$I$3*B95*Inputs!$G$3</f>
        <v>0</v>
      </c>
      <c r="V95">
        <f>Inputs!$I$4*C95*Inputs!$G$4</f>
        <v>0</v>
      </c>
      <c r="W95">
        <f>Inputs!$I$5*D95*Inputs!$G$5</f>
        <v>0.20551679322687164</v>
      </c>
      <c r="X95">
        <f>Inputs!$I$6*E95*Inputs!$G$6</f>
        <v>0</v>
      </c>
      <c r="Y95">
        <f>Inputs!$I$7*F95*Inputs!$G$7</f>
        <v>0.19972733373941395</v>
      </c>
      <c r="Z95">
        <f>Inputs!$I$8*G95*Inputs!$G$8</f>
        <v>0</v>
      </c>
      <c r="AA95">
        <f>Inputs!$I$9*H95*Inputs!$G$9</f>
        <v>0.16590779367943137</v>
      </c>
      <c r="AB95">
        <f t="shared" si="8"/>
        <v>0.57115192064571696</v>
      </c>
      <c r="AD95">
        <f>Inputs!$I$2*ABS(A95-1)*Inputs!$H$2</f>
        <v>3.0082304526748989E-2</v>
      </c>
      <c r="AE95">
        <f>Inputs!$I$3*ABS(B95-1)*Inputs!$H$3</f>
        <v>1.1405796839520112E-2</v>
      </c>
      <c r="AF95">
        <f>Inputs!$I$4*ABS(C95-1)*Inputs!$H$4</f>
        <v>8.9678988679000853E-3</v>
      </c>
      <c r="AG95">
        <f>Inputs!$I$5*ABS(D95-1)*Inputs!$H$5</f>
        <v>0</v>
      </c>
      <c r="AH95">
        <f>Inputs!$I$6*ABS(E95-1)*Inputs!$H$6</f>
        <v>6.4042485034184693E-2</v>
      </c>
      <c r="AI95">
        <f>Inputs!$I$7*ABS(F95-1)*Inputs!$H$7</f>
        <v>0</v>
      </c>
      <c r="AJ95">
        <f>Inputs!$I$8*ABS(G95-1)*Inputs!$H$8</f>
        <v>5.8391635937893226E-2</v>
      </c>
      <c r="AK95">
        <f>Inputs!$I$9*ABS(H95-1)*Inputs!$H$9</f>
        <v>0</v>
      </c>
      <c r="AL95">
        <f t="shared" si="12"/>
        <v>-0.17289012120624711</v>
      </c>
      <c r="AN95" s="1">
        <f t="shared" si="13"/>
        <v>0.39826179943946982</v>
      </c>
      <c r="AO95">
        <f t="shared" si="9"/>
        <v>8.6572656480404049E-4</v>
      </c>
      <c r="AP95">
        <f t="shared" si="10"/>
        <v>2.9268887525963328E-3</v>
      </c>
      <c r="AQ95" s="26">
        <f t="shared" si="14"/>
        <v>1.0007289757449209</v>
      </c>
      <c r="AR95">
        <f t="shared" si="15"/>
        <v>-3.7582206209859471E-4</v>
      </c>
    </row>
    <row r="96" spans="1:44" x14ac:dyDescent="0.25">
      <c r="A96">
        <v>0</v>
      </c>
      <c r="B96">
        <v>0</v>
      </c>
      <c r="C96">
        <v>0</v>
      </c>
      <c r="D96">
        <v>0</v>
      </c>
      <c r="E96">
        <v>1</v>
      </c>
      <c r="F96">
        <v>1</v>
      </c>
      <c r="G96">
        <v>0</v>
      </c>
      <c r="H96">
        <v>1</v>
      </c>
      <c r="J96">
        <f>(A96*Inputs!$E$2+ABS((A96-1))*(1-Inputs!$E$2))</f>
        <v>0.35</v>
      </c>
      <c r="K96">
        <f>(B96*Inputs!$E$3+ABS((B96-1))*(1-Inputs!$E$3))</f>
        <v>0.35</v>
      </c>
      <c r="L96">
        <f>(C96*Inputs!$E$4+ABS((C96-1))*(1-Inputs!$E$4))</f>
        <v>0.35</v>
      </c>
      <c r="M96">
        <f>(D96*Inputs!$E$5+ABS((D96-1))*(1-Inputs!$E$5))</f>
        <v>0.35</v>
      </c>
      <c r="N96">
        <f>(E96*Inputs!$E$6+ABS((E96-1))*(1-Inputs!$E$6))</f>
        <v>0.6</v>
      </c>
      <c r="O96">
        <f>(F96*Inputs!$E$7+ABS((F96-1))*(1-Inputs!$E$7))</f>
        <v>0.75</v>
      </c>
      <c r="P96">
        <f>(G96*Inputs!$E$8+ABS((G96-1))*(1-Inputs!$E$8))</f>
        <v>0.4</v>
      </c>
      <c r="Q96">
        <f>(H96*Inputs!$E$9+ABS((H96-1))*(1-Inputs!$E$9))</f>
        <v>0.65</v>
      </c>
      <c r="R96">
        <f t="shared" si="11"/>
        <v>1.7557312499999992E-3</v>
      </c>
      <c r="T96">
        <f>Inputs!$I$2*A96*Inputs!$G$2</f>
        <v>0</v>
      </c>
      <c r="U96">
        <f>Inputs!$I$3*B96*Inputs!$G$3</f>
        <v>0</v>
      </c>
      <c r="V96">
        <f>Inputs!$I$4*C96*Inputs!$G$4</f>
        <v>0</v>
      </c>
      <c r="W96">
        <f>Inputs!$I$5*D96*Inputs!$G$5</f>
        <v>0</v>
      </c>
      <c r="X96">
        <f>Inputs!$I$6*E96*Inputs!$G$6</f>
        <v>0.37656981200100598</v>
      </c>
      <c r="Y96">
        <f>Inputs!$I$7*F96*Inputs!$G$7</f>
        <v>0.19972733373941395</v>
      </c>
      <c r="Z96">
        <f>Inputs!$I$8*G96*Inputs!$G$8</f>
        <v>0</v>
      </c>
      <c r="AA96">
        <f>Inputs!$I$9*H96*Inputs!$G$9</f>
        <v>0.16590779367943137</v>
      </c>
      <c r="AB96">
        <f t="shared" si="8"/>
        <v>0.74220493941985133</v>
      </c>
      <c r="AD96">
        <f>Inputs!$I$2*ABS(A96-1)*Inputs!$H$2</f>
        <v>3.0082304526748989E-2</v>
      </c>
      <c r="AE96">
        <f>Inputs!$I$3*ABS(B96-1)*Inputs!$H$3</f>
        <v>1.1405796839520112E-2</v>
      </c>
      <c r="AF96">
        <f>Inputs!$I$4*ABS(C96-1)*Inputs!$H$4</f>
        <v>8.9678988679000853E-3</v>
      </c>
      <c r="AG96">
        <f>Inputs!$I$5*ABS(D96-1)*Inputs!$H$5</f>
        <v>3.0032539984442563E-2</v>
      </c>
      <c r="AH96">
        <f>Inputs!$I$6*ABS(E96-1)*Inputs!$H$6</f>
        <v>0</v>
      </c>
      <c r="AI96">
        <f>Inputs!$I$7*ABS(F96-1)*Inputs!$H$7</f>
        <v>0</v>
      </c>
      <c r="AJ96">
        <f>Inputs!$I$8*ABS(G96-1)*Inputs!$H$8</f>
        <v>5.8391635937893226E-2</v>
      </c>
      <c r="AK96">
        <f>Inputs!$I$9*ABS(H96-1)*Inputs!$H$9</f>
        <v>0</v>
      </c>
      <c r="AL96">
        <f t="shared" si="12"/>
        <v>-0.13888017615650497</v>
      </c>
      <c r="AN96" s="1">
        <f t="shared" si="13"/>
        <v>0.60332476326334639</v>
      </c>
      <c r="AO96">
        <f t="shared" si="9"/>
        <v>1.0592761407603086E-3</v>
      </c>
      <c r="AP96">
        <f t="shared" si="10"/>
        <v>1.6023056932912632E-3</v>
      </c>
      <c r="AQ96" s="26">
        <f t="shared" si="14"/>
        <v>1.000829188229976</v>
      </c>
      <c r="AR96">
        <f t="shared" si="15"/>
        <v>-2.4383626528348055E-4</v>
      </c>
    </row>
    <row r="97" spans="1:44" x14ac:dyDescent="0.25">
      <c r="A97">
        <v>0</v>
      </c>
      <c r="B97">
        <v>0</v>
      </c>
      <c r="C97">
        <v>0</v>
      </c>
      <c r="D97">
        <v>0</v>
      </c>
      <c r="E97">
        <v>0</v>
      </c>
      <c r="F97">
        <v>1</v>
      </c>
      <c r="G97">
        <v>0</v>
      </c>
      <c r="H97">
        <v>1</v>
      </c>
      <c r="J97">
        <f>(A97*Inputs!$E$2+ABS((A97-1))*(1-Inputs!$E$2))</f>
        <v>0.35</v>
      </c>
      <c r="K97">
        <f>(B97*Inputs!$E$3+ABS((B97-1))*(1-Inputs!$E$3))</f>
        <v>0.35</v>
      </c>
      <c r="L97">
        <f>(C97*Inputs!$E$4+ABS((C97-1))*(1-Inputs!$E$4))</f>
        <v>0.35</v>
      </c>
      <c r="M97">
        <f>(D97*Inputs!$E$5+ABS((D97-1))*(1-Inputs!$E$5))</f>
        <v>0.35</v>
      </c>
      <c r="N97">
        <f>(E97*Inputs!$E$6+ABS((E97-1))*(1-Inputs!$E$6))</f>
        <v>0.4</v>
      </c>
      <c r="O97">
        <f>(F97*Inputs!$E$7+ABS((F97-1))*(1-Inputs!$E$7))</f>
        <v>0.75</v>
      </c>
      <c r="P97">
        <f>(G97*Inputs!$E$8+ABS((G97-1))*(1-Inputs!$E$8))</f>
        <v>0.4</v>
      </c>
      <c r="Q97">
        <f>(H97*Inputs!$E$9+ABS((H97-1))*(1-Inputs!$E$9))</f>
        <v>0.65</v>
      </c>
      <c r="R97">
        <f t="shared" si="11"/>
        <v>1.1704874999999997E-3</v>
      </c>
      <c r="T97">
        <f>Inputs!$I$2*A97*Inputs!$G$2</f>
        <v>0</v>
      </c>
      <c r="U97">
        <f>Inputs!$I$3*B97*Inputs!$G$3</f>
        <v>0</v>
      </c>
      <c r="V97">
        <f>Inputs!$I$4*C97*Inputs!$G$4</f>
        <v>0</v>
      </c>
      <c r="W97">
        <f>Inputs!$I$5*D97*Inputs!$G$5</f>
        <v>0</v>
      </c>
      <c r="X97">
        <f>Inputs!$I$6*E97*Inputs!$G$6</f>
        <v>0</v>
      </c>
      <c r="Y97">
        <f>Inputs!$I$7*F97*Inputs!$G$7</f>
        <v>0.19972733373941395</v>
      </c>
      <c r="Z97">
        <f>Inputs!$I$8*G97*Inputs!$G$8</f>
        <v>0</v>
      </c>
      <c r="AA97">
        <f>Inputs!$I$9*H97*Inputs!$G$9</f>
        <v>0.16590779367943137</v>
      </c>
      <c r="AB97">
        <f t="shared" si="8"/>
        <v>0.3656351274188453</v>
      </c>
      <c r="AD97">
        <f>Inputs!$I$2*ABS(A97-1)*Inputs!$H$2</f>
        <v>3.0082304526748989E-2</v>
      </c>
      <c r="AE97">
        <f>Inputs!$I$3*ABS(B97-1)*Inputs!$H$3</f>
        <v>1.1405796839520112E-2</v>
      </c>
      <c r="AF97">
        <f>Inputs!$I$4*ABS(C97-1)*Inputs!$H$4</f>
        <v>8.9678988679000853E-3</v>
      </c>
      <c r="AG97">
        <f>Inputs!$I$5*ABS(D97-1)*Inputs!$H$5</f>
        <v>3.0032539984442563E-2</v>
      </c>
      <c r="AH97">
        <f>Inputs!$I$6*ABS(E97-1)*Inputs!$H$6</f>
        <v>6.4042485034184693E-2</v>
      </c>
      <c r="AI97">
        <f>Inputs!$I$7*ABS(F97-1)*Inputs!$H$7</f>
        <v>0</v>
      </c>
      <c r="AJ97">
        <f>Inputs!$I$8*ABS(G97-1)*Inputs!$H$8</f>
        <v>5.8391635937893226E-2</v>
      </c>
      <c r="AK97">
        <f>Inputs!$I$9*ABS(H97-1)*Inputs!$H$9</f>
        <v>0</v>
      </c>
      <c r="AL97">
        <f t="shared" si="12"/>
        <v>-0.20292266119068966</v>
      </c>
      <c r="AN97" s="1">
        <f t="shared" si="13"/>
        <v>0.16271246622815563</v>
      </c>
      <c r="AO97">
        <f t="shared" si="9"/>
        <v>1.9045290781422828E-4</v>
      </c>
      <c r="AP97">
        <f t="shared" si="10"/>
        <v>2.2808061293458502E-3</v>
      </c>
      <c r="AQ97" s="26">
        <f t="shared" si="14"/>
        <v>1.0001764731247693</v>
      </c>
      <c r="AR97">
        <f t="shared" si="15"/>
        <v>-2.3751843839043733E-4</v>
      </c>
    </row>
    <row r="98" spans="1:44" x14ac:dyDescent="0.25">
      <c r="A98">
        <v>1</v>
      </c>
      <c r="B98">
        <v>1</v>
      </c>
      <c r="C98">
        <v>1</v>
      </c>
      <c r="D98">
        <v>1</v>
      </c>
      <c r="E98">
        <v>1</v>
      </c>
      <c r="F98">
        <v>0</v>
      </c>
      <c r="G98">
        <v>0</v>
      </c>
      <c r="H98">
        <v>1</v>
      </c>
      <c r="J98">
        <f>(A98*Inputs!$E$2+ABS((A98-1))*(1-Inputs!$E$2))</f>
        <v>0.65</v>
      </c>
      <c r="K98">
        <f>(B98*Inputs!$E$3+ABS((B98-1))*(1-Inputs!$E$3))</f>
        <v>0.65</v>
      </c>
      <c r="L98">
        <f>(C98*Inputs!$E$4+ABS((C98-1))*(1-Inputs!$E$4))</f>
        <v>0.65</v>
      </c>
      <c r="M98">
        <f>(D98*Inputs!$E$5+ABS((D98-1))*(1-Inputs!$E$5))</f>
        <v>0.65</v>
      </c>
      <c r="N98">
        <f>(E98*Inputs!$E$6+ABS((E98-1))*(1-Inputs!$E$6))</f>
        <v>0.6</v>
      </c>
      <c r="O98">
        <f>(F98*Inputs!$E$7+ABS((F98-1))*(1-Inputs!$E$7))</f>
        <v>0.25</v>
      </c>
      <c r="P98">
        <f>(G98*Inputs!$E$8+ABS((G98-1))*(1-Inputs!$E$8))</f>
        <v>0.4</v>
      </c>
      <c r="Q98">
        <f>(H98*Inputs!$E$9+ABS((H98-1))*(1-Inputs!$E$9))</f>
        <v>0.65</v>
      </c>
      <c r="R98">
        <f t="shared" si="11"/>
        <v>6.9617437500000033E-3</v>
      </c>
      <c r="T98">
        <f>Inputs!$I$2*A98*Inputs!$G$2</f>
        <v>0.52958847736625514</v>
      </c>
      <c r="U98">
        <f>Inputs!$I$3*B98*Inputs!$G$3</f>
        <v>0.20645773829738062</v>
      </c>
      <c r="V98">
        <f>Inputs!$I$4*C98*Inputs!$G$4</f>
        <v>0.1422264291528948</v>
      </c>
      <c r="W98">
        <f>Inputs!$I$5*D98*Inputs!$G$5</f>
        <v>0.20551679322687164</v>
      </c>
      <c r="X98">
        <f>Inputs!$I$6*E98*Inputs!$G$6</f>
        <v>0.37656981200100598</v>
      </c>
      <c r="Y98">
        <f>Inputs!$I$7*F98*Inputs!$G$7</f>
        <v>0</v>
      </c>
      <c r="Z98">
        <f>Inputs!$I$8*G98*Inputs!$G$8</f>
        <v>0</v>
      </c>
      <c r="AA98">
        <f>Inputs!$I$9*H98*Inputs!$G$9</f>
        <v>0.16590779367943137</v>
      </c>
      <c r="AB98">
        <f t="shared" ref="AB98:AB161" si="16">SUM(T98:AA98)</f>
        <v>1.6262670437238393</v>
      </c>
      <c r="AD98">
        <f>Inputs!$I$2*ABS(A98-1)*Inputs!$H$2</f>
        <v>0</v>
      </c>
      <c r="AE98">
        <f>Inputs!$I$3*ABS(B98-1)*Inputs!$H$3</f>
        <v>0</v>
      </c>
      <c r="AF98">
        <f>Inputs!$I$4*ABS(C98-1)*Inputs!$H$4</f>
        <v>0</v>
      </c>
      <c r="AG98">
        <f>Inputs!$I$5*ABS(D98-1)*Inputs!$H$5</f>
        <v>0</v>
      </c>
      <c r="AH98">
        <f>Inputs!$I$6*ABS(E98-1)*Inputs!$H$6</f>
        <v>0</v>
      </c>
      <c r="AI98">
        <f>Inputs!$I$7*ABS(F98-1)*Inputs!$H$7</f>
        <v>1.49493001411365E-2</v>
      </c>
      <c r="AJ98">
        <f>Inputs!$I$8*ABS(G98-1)*Inputs!$H$8</f>
        <v>5.8391635937893226E-2</v>
      </c>
      <c r="AK98">
        <f>Inputs!$I$9*ABS(H98-1)*Inputs!$H$9</f>
        <v>0</v>
      </c>
      <c r="AL98">
        <f t="shared" si="12"/>
        <v>-7.3340936079029723E-2</v>
      </c>
      <c r="AN98" s="1">
        <f t="shared" si="13"/>
        <v>1.5529261076448095</v>
      </c>
      <c r="AO98">
        <f t="shared" ref="AO98:AO161" si="17">AN98*R98</f>
        <v>1.0811073624108086E-2</v>
      </c>
      <c r="AP98">
        <f t="shared" ref="AP98:AP161" si="18">(AN98-$AO$258)^2*R98</f>
        <v>2.2675991856779715E-7</v>
      </c>
      <c r="AQ98" s="26">
        <f t="shared" si="14"/>
        <v>1.0065461591167966</v>
      </c>
      <c r="AR98">
        <f t="shared" si="15"/>
        <v>-5.1058080336733496E-4</v>
      </c>
    </row>
    <row r="99" spans="1:44" x14ac:dyDescent="0.25">
      <c r="A99">
        <v>1</v>
      </c>
      <c r="B99">
        <v>1</v>
      </c>
      <c r="C99">
        <v>1</v>
      </c>
      <c r="D99">
        <v>1</v>
      </c>
      <c r="E99">
        <v>0</v>
      </c>
      <c r="F99">
        <v>0</v>
      </c>
      <c r="G99">
        <v>0</v>
      </c>
      <c r="H99">
        <v>1</v>
      </c>
      <c r="J99">
        <f>(A99*Inputs!$E$2+ABS((A99-1))*(1-Inputs!$E$2))</f>
        <v>0.65</v>
      </c>
      <c r="K99">
        <f>(B99*Inputs!$E$3+ABS((B99-1))*(1-Inputs!$E$3))</f>
        <v>0.65</v>
      </c>
      <c r="L99">
        <f>(C99*Inputs!$E$4+ABS((C99-1))*(1-Inputs!$E$4))</f>
        <v>0.65</v>
      </c>
      <c r="M99">
        <f>(D99*Inputs!$E$5+ABS((D99-1))*(1-Inputs!$E$5))</f>
        <v>0.65</v>
      </c>
      <c r="N99">
        <f>(E99*Inputs!$E$6+ABS((E99-1))*(1-Inputs!$E$6))</f>
        <v>0.4</v>
      </c>
      <c r="O99">
        <f>(F99*Inputs!$E$7+ABS((F99-1))*(1-Inputs!$E$7))</f>
        <v>0.25</v>
      </c>
      <c r="P99">
        <f>(G99*Inputs!$E$8+ABS((G99-1))*(1-Inputs!$E$8))</f>
        <v>0.4</v>
      </c>
      <c r="Q99">
        <f>(H99*Inputs!$E$9+ABS((H99-1))*(1-Inputs!$E$9))</f>
        <v>0.65</v>
      </c>
      <c r="R99">
        <f t="shared" si="11"/>
        <v>4.6411625000000014E-3</v>
      </c>
      <c r="T99">
        <f>Inputs!$I$2*A99*Inputs!$G$2</f>
        <v>0.52958847736625514</v>
      </c>
      <c r="U99">
        <f>Inputs!$I$3*B99*Inputs!$G$3</f>
        <v>0.20645773829738062</v>
      </c>
      <c r="V99">
        <f>Inputs!$I$4*C99*Inputs!$G$4</f>
        <v>0.1422264291528948</v>
      </c>
      <c r="W99">
        <f>Inputs!$I$5*D99*Inputs!$G$5</f>
        <v>0.20551679322687164</v>
      </c>
      <c r="X99">
        <f>Inputs!$I$6*E99*Inputs!$G$6</f>
        <v>0</v>
      </c>
      <c r="Y99">
        <f>Inputs!$I$7*F99*Inputs!$G$7</f>
        <v>0</v>
      </c>
      <c r="Z99">
        <f>Inputs!$I$8*G99*Inputs!$G$8</f>
        <v>0</v>
      </c>
      <c r="AA99">
        <f>Inputs!$I$9*H99*Inputs!$G$9</f>
        <v>0.16590779367943137</v>
      </c>
      <c r="AB99">
        <f t="shared" si="16"/>
        <v>1.2496972317228334</v>
      </c>
      <c r="AD99">
        <f>Inputs!$I$2*ABS(A99-1)*Inputs!$H$2</f>
        <v>0</v>
      </c>
      <c r="AE99">
        <f>Inputs!$I$3*ABS(B99-1)*Inputs!$H$3</f>
        <v>0</v>
      </c>
      <c r="AF99">
        <f>Inputs!$I$4*ABS(C99-1)*Inputs!$H$4</f>
        <v>0</v>
      </c>
      <c r="AG99">
        <f>Inputs!$I$5*ABS(D99-1)*Inputs!$H$5</f>
        <v>0</v>
      </c>
      <c r="AH99">
        <f>Inputs!$I$6*ABS(E99-1)*Inputs!$H$6</f>
        <v>6.4042485034184693E-2</v>
      </c>
      <c r="AI99">
        <f>Inputs!$I$7*ABS(F99-1)*Inputs!$H$7</f>
        <v>1.49493001411365E-2</v>
      </c>
      <c r="AJ99">
        <f>Inputs!$I$8*ABS(G99-1)*Inputs!$H$8</f>
        <v>5.8391635937893226E-2</v>
      </c>
      <c r="AK99">
        <f>Inputs!$I$9*ABS(H99-1)*Inputs!$H$9</f>
        <v>0</v>
      </c>
      <c r="AL99">
        <f t="shared" si="12"/>
        <v>-0.13738342111321442</v>
      </c>
      <c r="AN99" s="1">
        <f t="shared" si="13"/>
        <v>1.1123138106096191</v>
      </c>
      <c r="AO99">
        <f t="shared" si="17"/>
        <v>5.1624291460334679E-3</v>
      </c>
      <c r="AP99">
        <f t="shared" si="18"/>
        <v>9.2452470128209037E-4</v>
      </c>
      <c r="AQ99" s="26">
        <f t="shared" si="14"/>
        <v>1.0034766162370579</v>
      </c>
      <c r="AR99">
        <f t="shared" si="15"/>
        <v>-6.3761878219235923E-4</v>
      </c>
    </row>
    <row r="100" spans="1:44" x14ac:dyDescent="0.25">
      <c r="A100">
        <v>1</v>
      </c>
      <c r="B100">
        <v>1</v>
      </c>
      <c r="C100">
        <v>1</v>
      </c>
      <c r="D100">
        <v>0</v>
      </c>
      <c r="E100">
        <v>1</v>
      </c>
      <c r="F100">
        <v>0</v>
      </c>
      <c r="G100">
        <v>0</v>
      </c>
      <c r="H100">
        <v>1</v>
      </c>
      <c r="J100">
        <f>(A100*Inputs!$E$2+ABS((A100-1))*(1-Inputs!$E$2))</f>
        <v>0.65</v>
      </c>
      <c r="K100">
        <f>(B100*Inputs!$E$3+ABS((B100-1))*(1-Inputs!$E$3))</f>
        <v>0.65</v>
      </c>
      <c r="L100">
        <f>(C100*Inputs!$E$4+ABS((C100-1))*(1-Inputs!$E$4))</f>
        <v>0.65</v>
      </c>
      <c r="M100">
        <f>(D100*Inputs!$E$5+ABS((D100-1))*(1-Inputs!$E$5))</f>
        <v>0.35</v>
      </c>
      <c r="N100">
        <f>(E100*Inputs!$E$6+ABS((E100-1))*(1-Inputs!$E$6))</f>
        <v>0.6</v>
      </c>
      <c r="O100">
        <f>(F100*Inputs!$E$7+ABS((F100-1))*(1-Inputs!$E$7))</f>
        <v>0.25</v>
      </c>
      <c r="P100">
        <f>(G100*Inputs!$E$8+ABS((G100-1))*(1-Inputs!$E$8))</f>
        <v>0.4</v>
      </c>
      <c r="Q100">
        <f>(H100*Inputs!$E$9+ABS((H100-1))*(1-Inputs!$E$9))</f>
        <v>0.65</v>
      </c>
      <c r="R100">
        <f t="shared" si="11"/>
        <v>3.7486312500000008E-3</v>
      </c>
      <c r="T100">
        <f>Inputs!$I$2*A100*Inputs!$G$2</f>
        <v>0.52958847736625514</v>
      </c>
      <c r="U100">
        <f>Inputs!$I$3*B100*Inputs!$G$3</f>
        <v>0.20645773829738062</v>
      </c>
      <c r="V100">
        <f>Inputs!$I$4*C100*Inputs!$G$4</f>
        <v>0.1422264291528948</v>
      </c>
      <c r="W100">
        <f>Inputs!$I$5*D100*Inputs!$G$5</f>
        <v>0</v>
      </c>
      <c r="X100">
        <f>Inputs!$I$6*E100*Inputs!$G$6</f>
        <v>0.37656981200100598</v>
      </c>
      <c r="Y100">
        <f>Inputs!$I$7*F100*Inputs!$G$7</f>
        <v>0</v>
      </c>
      <c r="Z100">
        <f>Inputs!$I$8*G100*Inputs!$G$8</f>
        <v>0</v>
      </c>
      <c r="AA100">
        <f>Inputs!$I$9*H100*Inputs!$G$9</f>
        <v>0.16590779367943137</v>
      </c>
      <c r="AB100">
        <f t="shared" si="16"/>
        <v>1.4207502504969678</v>
      </c>
      <c r="AD100">
        <f>Inputs!$I$2*ABS(A100-1)*Inputs!$H$2</f>
        <v>0</v>
      </c>
      <c r="AE100">
        <f>Inputs!$I$3*ABS(B100-1)*Inputs!$H$3</f>
        <v>0</v>
      </c>
      <c r="AF100">
        <f>Inputs!$I$4*ABS(C100-1)*Inputs!$H$4</f>
        <v>0</v>
      </c>
      <c r="AG100">
        <f>Inputs!$I$5*ABS(D100-1)*Inputs!$H$5</f>
        <v>3.0032539984442563E-2</v>
      </c>
      <c r="AH100">
        <f>Inputs!$I$6*ABS(E100-1)*Inputs!$H$6</f>
        <v>0</v>
      </c>
      <c r="AI100">
        <f>Inputs!$I$7*ABS(F100-1)*Inputs!$H$7</f>
        <v>1.49493001411365E-2</v>
      </c>
      <c r="AJ100">
        <f>Inputs!$I$8*ABS(G100-1)*Inputs!$H$8</f>
        <v>5.8391635937893226E-2</v>
      </c>
      <c r="AK100">
        <f>Inputs!$I$9*ABS(H100-1)*Inputs!$H$9</f>
        <v>0</v>
      </c>
      <c r="AL100">
        <f t="shared" si="12"/>
        <v>-0.10337347606347229</v>
      </c>
      <c r="AN100" s="1">
        <f t="shared" si="13"/>
        <v>1.3173767744334954</v>
      </c>
      <c r="AO100">
        <f t="shared" si="17"/>
        <v>4.9383597446656033E-3</v>
      </c>
      <c r="AP100">
        <f t="shared" si="18"/>
        <v>2.1818803751908478E-4</v>
      </c>
      <c r="AQ100" s="26">
        <f t="shared" si="14"/>
        <v>1.0031554520640018</v>
      </c>
      <c r="AR100">
        <f t="shared" si="15"/>
        <v>-3.875090427926593E-4</v>
      </c>
    </row>
    <row r="101" spans="1:44" x14ac:dyDescent="0.25">
      <c r="A101">
        <v>1</v>
      </c>
      <c r="B101">
        <v>1</v>
      </c>
      <c r="C101">
        <v>1</v>
      </c>
      <c r="D101">
        <v>0</v>
      </c>
      <c r="E101">
        <v>0</v>
      </c>
      <c r="F101">
        <v>0</v>
      </c>
      <c r="G101">
        <v>0</v>
      </c>
      <c r="H101">
        <v>1</v>
      </c>
      <c r="J101">
        <f>(A101*Inputs!$E$2+ABS((A101-1))*(1-Inputs!$E$2))</f>
        <v>0.65</v>
      </c>
      <c r="K101">
        <f>(B101*Inputs!$E$3+ABS((B101-1))*(1-Inputs!$E$3))</f>
        <v>0.65</v>
      </c>
      <c r="L101">
        <f>(C101*Inputs!$E$4+ABS((C101-1))*(1-Inputs!$E$4))</f>
        <v>0.65</v>
      </c>
      <c r="M101">
        <f>(D101*Inputs!$E$5+ABS((D101-1))*(1-Inputs!$E$5))</f>
        <v>0.35</v>
      </c>
      <c r="N101">
        <f>(E101*Inputs!$E$6+ABS((E101-1))*(1-Inputs!$E$6))</f>
        <v>0.4</v>
      </c>
      <c r="O101">
        <f>(F101*Inputs!$E$7+ABS((F101-1))*(1-Inputs!$E$7))</f>
        <v>0.25</v>
      </c>
      <c r="P101">
        <f>(G101*Inputs!$E$8+ABS((G101-1))*(1-Inputs!$E$8))</f>
        <v>0.4</v>
      </c>
      <c r="Q101">
        <f>(H101*Inputs!$E$9+ABS((H101-1))*(1-Inputs!$E$9))</f>
        <v>0.65</v>
      </c>
      <c r="R101">
        <f t="shared" si="11"/>
        <v>2.4990875000000007E-3</v>
      </c>
      <c r="T101">
        <f>Inputs!$I$2*A101*Inputs!$G$2</f>
        <v>0.52958847736625514</v>
      </c>
      <c r="U101">
        <f>Inputs!$I$3*B101*Inputs!$G$3</f>
        <v>0.20645773829738062</v>
      </c>
      <c r="V101">
        <f>Inputs!$I$4*C101*Inputs!$G$4</f>
        <v>0.1422264291528948</v>
      </c>
      <c r="W101">
        <f>Inputs!$I$5*D101*Inputs!$G$5</f>
        <v>0</v>
      </c>
      <c r="X101">
        <f>Inputs!$I$6*E101*Inputs!$G$6</f>
        <v>0</v>
      </c>
      <c r="Y101">
        <f>Inputs!$I$7*F101*Inputs!$G$7</f>
        <v>0</v>
      </c>
      <c r="Z101">
        <f>Inputs!$I$8*G101*Inputs!$G$8</f>
        <v>0</v>
      </c>
      <c r="AA101">
        <f>Inputs!$I$9*H101*Inputs!$G$9</f>
        <v>0.16590779367943137</v>
      </c>
      <c r="AB101">
        <f t="shared" si="16"/>
        <v>1.0441804384959619</v>
      </c>
      <c r="AD101">
        <f>Inputs!$I$2*ABS(A101-1)*Inputs!$H$2</f>
        <v>0</v>
      </c>
      <c r="AE101">
        <f>Inputs!$I$3*ABS(B101-1)*Inputs!$H$3</f>
        <v>0</v>
      </c>
      <c r="AF101">
        <f>Inputs!$I$4*ABS(C101-1)*Inputs!$H$4</f>
        <v>0</v>
      </c>
      <c r="AG101">
        <f>Inputs!$I$5*ABS(D101-1)*Inputs!$H$5</f>
        <v>3.0032539984442563E-2</v>
      </c>
      <c r="AH101">
        <f>Inputs!$I$6*ABS(E101-1)*Inputs!$H$6</f>
        <v>6.4042485034184693E-2</v>
      </c>
      <c r="AI101">
        <f>Inputs!$I$7*ABS(F101-1)*Inputs!$H$7</f>
        <v>1.49493001411365E-2</v>
      </c>
      <c r="AJ101">
        <f>Inputs!$I$8*ABS(G101-1)*Inputs!$H$8</f>
        <v>5.8391635937893226E-2</v>
      </c>
      <c r="AK101">
        <f>Inputs!$I$9*ABS(H101-1)*Inputs!$H$9</f>
        <v>0</v>
      </c>
      <c r="AL101">
        <f t="shared" si="12"/>
        <v>-0.167415961097657</v>
      </c>
      <c r="AN101" s="1">
        <f t="shared" si="13"/>
        <v>0.87676447739830488</v>
      </c>
      <c r="AO101">
        <f t="shared" si="17"/>
        <v>2.1911111459101368E-3</v>
      </c>
      <c r="AP101">
        <f t="shared" si="18"/>
        <v>1.1619385382104453E-3</v>
      </c>
      <c r="AQ101" s="26">
        <f t="shared" si="14"/>
        <v>1.001574536998826</v>
      </c>
      <c r="AR101">
        <f t="shared" si="15"/>
        <v>-4.1838713567964102E-4</v>
      </c>
    </row>
    <row r="102" spans="1:44" x14ac:dyDescent="0.25">
      <c r="A102">
        <v>1</v>
      </c>
      <c r="B102">
        <v>1</v>
      </c>
      <c r="C102">
        <v>0</v>
      </c>
      <c r="D102">
        <v>1</v>
      </c>
      <c r="E102">
        <v>1</v>
      </c>
      <c r="F102">
        <v>0</v>
      </c>
      <c r="G102">
        <v>0</v>
      </c>
      <c r="H102">
        <v>1</v>
      </c>
      <c r="J102">
        <f>(A102*Inputs!$E$2+ABS((A102-1))*(1-Inputs!$E$2))</f>
        <v>0.65</v>
      </c>
      <c r="K102">
        <f>(B102*Inputs!$E$3+ABS((B102-1))*(1-Inputs!$E$3))</f>
        <v>0.65</v>
      </c>
      <c r="L102">
        <f>(C102*Inputs!$E$4+ABS((C102-1))*(1-Inputs!$E$4))</f>
        <v>0.35</v>
      </c>
      <c r="M102">
        <f>(D102*Inputs!$E$5+ABS((D102-1))*(1-Inputs!$E$5))</f>
        <v>0.65</v>
      </c>
      <c r="N102">
        <f>(E102*Inputs!$E$6+ABS((E102-1))*(1-Inputs!$E$6))</f>
        <v>0.6</v>
      </c>
      <c r="O102">
        <f>(F102*Inputs!$E$7+ABS((F102-1))*(1-Inputs!$E$7))</f>
        <v>0.25</v>
      </c>
      <c r="P102">
        <f>(G102*Inputs!$E$8+ABS((G102-1))*(1-Inputs!$E$8))</f>
        <v>0.4</v>
      </c>
      <c r="Q102">
        <f>(H102*Inputs!$E$9+ABS((H102-1))*(1-Inputs!$E$9))</f>
        <v>0.65</v>
      </c>
      <c r="R102">
        <f t="shared" si="11"/>
        <v>3.7486312500000004E-3</v>
      </c>
      <c r="T102">
        <f>Inputs!$I$2*A102*Inputs!$G$2</f>
        <v>0.52958847736625514</v>
      </c>
      <c r="U102">
        <f>Inputs!$I$3*B102*Inputs!$G$3</f>
        <v>0.20645773829738062</v>
      </c>
      <c r="V102">
        <f>Inputs!$I$4*C102*Inputs!$G$4</f>
        <v>0</v>
      </c>
      <c r="W102">
        <f>Inputs!$I$5*D102*Inputs!$G$5</f>
        <v>0.20551679322687164</v>
      </c>
      <c r="X102">
        <f>Inputs!$I$6*E102*Inputs!$G$6</f>
        <v>0.37656981200100598</v>
      </c>
      <c r="Y102">
        <f>Inputs!$I$7*F102*Inputs!$G$7</f>
        <v>0</v>
      </c>
      <c r="Z102">
        <f>Inputs!$I$8*G102*Inputs!$G$8</f>
        <v>0</v>
      </c>
      <c r="AA102">
        <f>Inputs!$I$9*H102*Inputs!$G$9</f>
        <v>0.16590779367943137</v>
      </c>
      <c r="AB102">
        <f t="shared" si="16"/>
        <v>1.4840406145709448</v>
      </c>
      <c r="AD102">
        <f>Inputs!$I$2*ABS(A102-1)*Inputs!$H$2</f>
        <v>0</v>
      </c>
      <c r="AE102">
        <f>Inputs!$I$3*ABS(B102-1)*Inputs!$H$3</f>
        <v>0</v>
      </c>
      <c r="AF102">
        <f>Inputs!$I$4*ABS(C102-1)*Inputs!$H$4</f>
        <v>8.9678988679000853E-3</v>
      </c>
      <c r="AG102">
        <f>Inputs!$I$5*ABS(D102-1)*Inputs!$H$5</f>
        <v>0</v>
      </c>
      <c r="AH102">
        <f>Inputs!$I$6*ABS(E102-1)*Inputs!$H$6</f>
        <v>0</v>
      </c>
      <c r="AI102">
        <f>Inputs!$I$7*ABS(F102-1)*Inputs!$H$7</f>
        <v>1.49493001411365E-2</v>
      </c>
      <c r="AJ102">
        <f>Inputs!$I$8*ABS(G102-1)*Inputs!$H$8</f>
        <v>5.8391635937893226E-2</v>
      </c>
      <c r="AK102">
        <f>Inputs!$I$9*ABS(H102-1)*Inputs!$H$9</f>
        <v>0</v>
      </c>
      <c r="AL102">
        <f t="shared" si="12"/>
        <v>-8.230883494692981E-2</v>
      </c>
      <c r="AN102" s="1">
        <f t="shared" si="13"/>
        <v>1.401731779624015</v>
      </c>
      <c r="AO102">
        <f t="shared" si="17"/>
        <v>5.2545755532166965E-3</v>
      </c>
      <c r="AP102">
        <f t="shared" si="18"/>
        <v>9.2284155633730173E-5</v>
      </c>
      <c r="AQ102" s="26">
        <f t="shared" si="14"/>
        <v>1.0032899133344113</v>
      </c>
      <c r="AR102">
        <f t="shared" si="15"/>
        <v>-3.0854547083315319E-4</v>
      </c>
    </row>
    <row r="103" spans="1:44" x14ac:dyDescent="0.25">
      <c r="A103">
        <v>1</v>
      </c>
      <c r="B103">
        <v>1</v>
      </c>
      <c r="C103">
        <v>0</v>
      </c>
      <c r="D103">
        <v>1</v>
      </c>
      <c r="E103">
        <v>0</v>
      </c>
      <c r="F103">
        <v>0</v>
      </c>
      <c r="G103">
        <v>0</v>
      </c>
      <c r="H103">
        <v>1</v>
      </c>
      <c r="J103">
        <f>(A103*Inputs!$E$2+ABS((A103-1))*(1-Inputs!$E$2))</f>
        <v>0.65</v>
      </c>
      <c r="K103">
        <f>(B103*Inputs!$E$3+ABS((B103-1))*(1-Inputs!$E$3))</f>
        <v>0.65</v>
      </c>
      <c r="L103">
        <f>(C103*Inputs!$E$4+ABS((C103-1))*(1-Inputs!$E$4))</f>
        <v>0.35</v>
      </c>
      <c r="M103">
        <f>(D103*Inputs!$E$5+ABS((D103-1))*(1-Inputs!$E$5))</f>
        <v>0.65</v>
      </c>
      <c r="N103">
        <f>(E103*Inputs!$E$6+ABS((E103-1))*(1-Inputs!$E$6))</f>
        <v>0.4</v>
      </c>
      <c r="O103">
        <f>(F103*Inputs!$E$7+ABS((F103-1))*(1-Inputs!$E$7))</f>
        <v>0.25</v>
      </c>
      <c r="P103">
        <f>(G103*Inputs!$E$8+ABS((G103-1))*(1-Inputs!$E$8))</f>
        <v>0.4</v>
      </c>
      <c r="Q103">
        <f>(H103*Inputs!$E$9+ABS((H103-1))*(1-Inputs!$E$9))</f>
        <v>0.65</v>
      </c>
      <c r="R103">
        <f t="shared" si="11"/>
        <v>2.4990875000000003E-3</v>
      </c>
      <c r="T103">
        <f>Inputs!$I$2*A103*Inputs!$G$2</f>
        <v>0.52958847736625514</v>
      </c>
      <c r="U103">
        <f>Inputs!$I$3*B103*Inputs!$G$3</f>
        <v>0.20645773829738062</v>
      </c>
      <c r="V103">
        <f>Inputs!$I$4*C103*Inputs!$G$4</f>
        <v>0</v>
      </c>
      <c r="W103">
        <f>Inputs!$I$5*D103*Inputs!$G$5</f>
        <v>0.20551679322687164</v>
      </c>
      <c r="X103">
        <f>Inputs!$I$6*E103*Inputs!$G$6</f>
        <v>0</v>
      </c>
      <c r="Y103">
        <f>Inputs!$I$7*F103*Inputs!$G$7</f>
        <v>0</v>
      </c>
      <c r="Z103">
        <f>Inputs!$I$8*G103*Inputs!$G$8</f>
        <v>0</v>
      </c>
      <c r="AA103">
        <f>Inputs!$I$9*H103*Inputs!$G$9</f>
        <v>0.16590779367943137</v>
      </c>
      <c r="AB103">
        <f t="shared" si="16"/>
        <v>1.1074708025699389</v>
      </c>
      <c r="AD103">
        <f>Inputs!$I$2*ABS(A103-1)*Inputs!$H$2</f>
        <v>0</v>
      </c>
      <c r="AE103">
        <f>Inputs!$I$3*ABS(B103-1)*Inputs!$H$3</f>
        <v>0</v>
      </c>
      <c r="AF103">
        <f>Inputs!$I$4*ABS(C103-1)*Inputs!$H$4</f>
        <v>8.9678988679000853E-3</v>
      </c>
      <c r="AG103">
        <f>Inputs!$I$5*ABS(D103-1)*Inputs!$H$5</f>
        <v>0</v>
      </c>
      <c r="AH103">
        <f>Inputs!$I$6*ABS(E103-1)*Inputs!$H$6</f>
        <v>6.4042485034184693E-2</v>
      </c>
      <c r="AI103">
        <f>Inputs!$I$7*ABS(F103-1)*Inputs!$H$7</f>
        <v>1.49493001411365E-2</v>
      </c>
      <c r="AJ103">
        <f>Inputs!$I$8*ABS(G103-1)*Inputs!$H$8</f>
        <v>5.8391635937893226E-2</v>
      </c>
      <c r="AK103">
        <f>Inputs!$I$9*ABS(H103-1)*Inputs!$H$9</f>
        <v>0</v>
      </c>
      <c r="AL103">
        <f t="shared" si="12"/>
        <v>-0.1463513199811145</v>
      </c>
      <c r="AN103" s="1">
        <f t="shared" si="13"/>
        <v>0.9611194825888244</v>
      </c>
      <c r="AO103">
        <f t="shared" si="17"/>
        <v>2.401921684944199E-3</v>
      </c>
      <c r="AP103">
        <f t="shared" si="18"/>
        <v>8.9223118526749205E-4</v>
      </c>
      <c r="AQ103" s="26">
        <f t="shared" si="14"/>
        <v>1.0016845914366963</v>
      </c>
      <c r="AR103">
        <f t="shared" si="15"/>
        <v>-3.657447543733035E-4</v>
      </c>
    </row>
    <row r="104" spans="1:44" x14ac:dyDescent="0.25">
      <c r="A104">
        <v>1</v>
      </c>
      <c r="B104">
        <v>1</v>
      </c>
      <c r="C104">
        <v>0</v>
      </c>
      <c r="D104">
        <v>0</v>
      </c>
      <c r="E104">
        <v>1</v>
      </c>
      <c r="F104">
        <v>0</v>
      </c>
      <c r="G104">
        <v>0</v>
      </c>
      <c r="H104">
        <v>1</v>
      </c>
      <c r="J104">
        <f>(A104*Inputs!$E$2+ABS((A104-1))*(1-Inputs!$E$2))</f>
        <v>0.65</v>
      </c>
      <c r="K104">
        <f>(B104*Inputs!$E$3+ABS((B104-1))*(1-Inputs!$E$3))</f>
        <v>0.65</v>
      </c>
      <c r="L104">
        <f>(C104*Inputs!$E$4+ABS((C104-1))*(1-Inputs!$E$4))</f>
        <v>0.35</v>
      </c>
      <c r="M104">
        <f>(D104*Inputs!$E$5+ABS((D104-1))*(1-Inputs!$E$5))</f>
        <v>0.35</v>
      </c>
      <c r="N104">
        <f>(E104*Inputs!$E$6+ABS((E104-1))*(1-Inputs!$E$6))</f>
        <v>0.6</v>
      </c>
      <c r="O104">
        <f>(F104*Inputs!$E$7+ABS((F104-1))*(1-Inputs!$E$7))</f>
        <v>0.25</v>
      </c>
      <c r="P104">
        <f>(G104*Inputs!$E$8+ABS((G104-1))*(1-Inputs!$E$8))</f>
        <v>0.4</v>
      </c>
      <c r="Q104">
        <f>(H104*Inputs!$E$9+ABS((H104-1))*(1-Inputs!$E$9))</f>
        <v>0.65</v>
      </c>
      <c r="R104">
        <f t="shared" si="11"/>
        <v>2.0184937500000001E-3</v>
      </c>
      <c r="T104">
        <f>Inputs!$I$2*A104*Inputs!$G$2</f>
        <v>0.52958847736625514</v>
      </c>
      <c r="U104">
        <f>Inputs!$I$3*B104*Inputs!$G$3</f>
        <v>0.20645773829738062</v>
      </c>
      <c r="V104">
        <f>Inputs!$I$4*C104*Inputs!$G$4</f>
        <v>0</v>
      </c>
      <c r="W104">
        <f>Inputs!$I$5*D104*Inputs!$G$5</f>
        <v>0</v>
      </c>
      <c r="X104">
        <f>Inputs!$I$6*E104*Inputs!$G$6</f>
        <v>0.37656981200100598</v>
      </c>
      <c r="Y104">
        <f>Inputs!$I$7*F104*Inputs!$G$7</f>
        <v>0</v>
      </c>
      <c r="Z104">
        <f>Inputs!$I$8*G104*Inputs!$G$8</f>
        <v>0</v>
      </c>
      <c r="AA104">
        <f>Inputs!$I$9*H104*Inputs!$G$9</f>
        <v>0.16590779367943137</v>
      </c>
      <c r="AB104">
        <f t="shared" si="16"/>
        <v>1.2785238213440731</v>
      </c>
      <c r="AD104">
        <f>Inputs!$I$2*ABS(A104-1)*Inputs!$H$2</f>
        <v>0</v>
      </c>
      <c r="AE104">
        <f>Inputs!$I$3*ABS(B104-1)*Inputs!$H$3</f>
        <v>0</v>
      </c>
      <c r="AF104">
        <f>Inputs!$I$4*ABS(C104-1)*Inputs!$H$4</f>
        <v>8.9678988679000853E-3</v>
      </c>
      <c r="AG104">
        <f>Inputs!$I$5*ABS(D104-1)*Inputs!$H$5</f>
        <v>3.0032539984442563E-2</v>
      </c>
      <c r="AH104">
        <f>Inputs!$I$6*ABS(E104-1)*Inputs!$H$6</f>
        <v>0</v>
      </c>
      <c r="AI104">
        <f>Inputs!$I$7*ABS(F104-1)*Inputs!$H$7</f>
        <v>1.49493001411365E-2</v>
      </c>
      <c r="AJ104">
        <f>Inputs!$I$8*ABS(G104-1)*Inputs!$H$8</f>
        <v>5.8391635937893226E-2</v>
      </c>
      <c r="AK104">
        <f>Inputs!$I$9*ABS(H104-1)*Inputs!$H$9</f>
        <v>0</v>
      </c>
      <c r="AL104">
        <f t="shared" si="12"/>
        <v>-0.11234137493137236</v>
      </c>
      <c r="AN104" s="1">
        <f t="shared" si="13"/>
        <v>1.1661824464127006</v>
      </c>
      <c r="AO104">
        <f t="shared" si="17"/>
        <v>2.3539319794437462E-3</v>
      </c>
      <c r="AP104">
        <f t="shared" si="18"/>
        <v>3.1088374300351247E-4</v>
      </c>
      <c r="AQ104" s="26">
        <f t="shared" si="14"/>
        <v>1.0015614455895612</v>
      </c>
      <c r="AR104">
        <f t="shared" si="15"/>
        <v>-2.267603631653818E-4</v>
      </c>
    </row>
    <row r="105" spans="1:44" x14ac:dyDescent="0.25">
      <c r="A105">
        <v>1</v>
      </c>
      <c r="B105">
        <v>1</v>
      </c>
      <c r="C105">
        <v>0</v>
      </c>
      <c r="D105">
        <v>0</v>
      </c>
      <c r="E105">
        <v>0</v>
      </c>
      <c r="F105">
        <v>0</v>
      </c>
      <c r="G105">
        <v>0</v>
      </c>
      <c r="H105">
        <v>1</v>
      </c>
      <c r="J105">
        <f>(A105*Inputs!$E$2+ABS((A105-1))*(1-Inputs!$E$2))</f>
        <v>0.65</v>
      </c>
      <c r="K105">
        <f>(B105*Inputs!$E$3+ABS((B105-1))*(1-Inputs!$E$3))</f>
        <v>0.65</v>
      </c>
      <c r="L105">
        <f>(C105*Inputs!$E$4+ABS((C105-1))*(1-Inputs!$E$4))</f>
        <v>0.35</v>
      </c>
      <c r="M105">
        <f>(D105*Inputs!$E$5+ABS((D105-1))*(1-Inputs!$E$5))</f>
        <v>0.35</v>
      </c>
      <c r="N105">
        <f>(E105*Inputs!$E$6+ABS((E105-1))*(1-Inputs!$E$6))</f>
        <v>0.4</v>
      </c>
      <c r="O105">
        <f>(F105*Inputs!$E$7+ABS((F105-1))*(1-Inputs!$E$7))</f>
        <v>0.25</v>
      </c>
      <c r="P105">
        <f>(G105*Inputs!$E$8+ABS((G105-1))*(1-Inputs!$E$8))</f>
        <v>0.4</v>
      </c>
      <c r="Q105">
        <f>(H105*Inputs!$E$9+ABS((H105-1))*(1-Inputs!$E$9))</f>
        <v>0.65</v>
      </c>
      <c r="R105">
        <f t="shared" si="11"/>
        <v>1.3456625E-3</v>
      </c>
      <c r="T105">
        <f>Inputs!$I$2*A105*Inputs!$G$2</f>
        <v>0.52958847736625514</v>
      </c>
      <c r="U105">
        <f>Inputs!$I$3*B105*Inputs!$G$3</f>
        <v>0.20645773829738062</v>
      </c>
      <c r="V105">
        <f>Inputs!$I$4*C105*Inputs!$G$4</f>
        <v>0</v>
      </c>
      <c r="W105">
        <f>Inputs!$I$5*D105*Inputs!$G$5</f>
        <v>0</v>
      </c>
      <c r="X105">
        <f>Inputs!$I$6*E105*Inputs!$G$6</f>
        <v>0</v>
      </c>
      <c r="Y105">
        <f>Inputs!$I$7*F105*Inputs!$G$7</f>
        <v>0</v>
      </c>
      <c r="Z105">
        <f>Inputs!$I$8*G105*Inputs!$G$8</f>
        <v>0</v>
      </c>
      <c r="AA105">
        <f>Inputs!$I$9*H105*Inputs!$G$9</f>
        <v>0.16590779367943137</v>
      </c>
      <c r="AB105">
        <f t="shared" si="16"/>
        <v>0.90195400934306713</v>
      </c>
      <c r="AD105">
        <f>Inputs!$I$2*ABS(A105-1)*Inputs!$H$2</f>
        <v>0</v>
      </c>
      <c r="AE105">
        <f>Inputs!$I$3*ABS(B105-1)*Inputs!$H$3</f>
        <v>0</v>
      </c>
      <c r="AF105">
        <f>Inputs!$I$4*ABS(C105-1)*Inputs!$H$4</f>
        <v>8.9678988679000853E-3</v>
      </c>
      <c r="AG105">
        <f>Inputs!$I$5*ABS(D105-1)*Inputs!$H$5</f>
        <v>3.0032539984442563E-2</v>
      </c>
      <c r="AH105">
        <f>Inputs!$I$6*ABS(E105-1)*Inputs!$H$6</f>
        <v>6.4042485034184693E-2</v>
      </c>
      <c r="AI105">
        <f>Inputs!$I$7*ABS(F105-1)*Inputs!$H$7</f>
        <v>1.49493001411365E-2</v>
      </c>
      <c r="AJ105">
        <f>Inputs!$I$8*ABS(G105-1)*Inputs!$H$8</f>
        <v>5.8391635937893226E-2</v>
      </c>
      <c r="AK105">
        <f>Inputs!$I$9*ABS(H105-1)*Inputs!$H$9</f>
        <v>0</v>
      </c>
      <c r="AL105">
        <f t="shared" si="12"/>
        <v>-0.17638385996555705</v>
      </c>
      <c r="AN105" s="1">
        <f t="shared" si="13"/>
        <v>0.72557014937751008</v>
      </c>
      <c r="AO105">
        <f t="shared" si="17"/>
        <v>9.7637254113671365E-4</v>
      </c>
      <c r="AP105">
        <f t="shared" si="18"/>
        <v>9.3388203525523507E-4</v>
      </c>
      <c r="AQ105" s="26">
        <f t="shared" si="14"/>
        <v>1.000734405836563</v>
      </c>
      <c r="AR105">
        <f t="shared" si="15"/>
        <v>-2.3735314596090142E-4</v>
      </c>
    </row>
    <row r="106" spans="1:44" x14ac:dyDescent="0.25">
      <c r="A106">
        <v>1</v>
      </c>
      <c r="B106">
        <v>0</v>
      </c>
      <c r="C106">
        <v>1</v>
      </c>
      <c r="D106">
        <v>1</v>
      </c>
      <c r="E106">
        <v>1</v>
      </c>
      <c r="F106">
        <v>0</v>
      </c>
      <c r="G106">
        <v>0</v>
      </c>
      <c r="H106">
        <v>1</v>
      </c>
      <c r="J106">
        <f>(A106*Inputs!$E$2+ABS((A106-1))*(1-Inputs!$E$2))</f>
        <v>0.65</v>
      </c>
      <c r="K106">
        <f>(B106*Inputs!$E$3+ABS((B106-1))*(1-Inputs!$E$3))</f>
        <v>0.35</v>
      </c>
      <c r="L106">
        <f>(C106*Inputs!$E$4+ABS((C106-1))*(1-Inputs!$E$4))</f>
        <v>0.65</v>
      </c>
      <c r="M106">
        <f>(D106*Inputs!$E$5+ABS((D106-1))*(1-Inputs!$E$5))</f>
        <v>0.65</v>
      </c>
      <c r="N106">
        <f>(E106*Inputs!$E$6+ABS((E106-1))*(1-Inputs!$E$6))</f>
        <v>0.6</v>
      </c>
      <c r="O106">
        <f>(F106*Inputs!$E$7+ABS((F106-1))*(1-Inputs!$E$7))</f>
        <v>0.25</v>
      </c>
      <c r="P106">
        <f>(G106*Inputs!$E$8+ABS((G106-1))*(1-Inputs!$E$8))</f>
        <v>0.4</v>
      </c>
      <c r="Q106">
        <f>(H106*Inputs!$E$9+ABS((H106-1))*(1-Inputs!$E$9))</f>
        <v>0.65</v>
      </c>
      <c r="R106">
        <f t="shared" si="11"/>
        <v>3.74863125E-3</v>
      </c>
      <c r="T106">
        <f>Inputs!$I$2*A106*Inputs!$G$2</f>
        <v>0.52958847736625514</v>
      </c>
      <c r="U106">
        <f>Inputs!$I$3*B106*Inputs!$G$3</f>
        <v>0</v>
      </c>
      <c r="V106">
        <f>Inputs!$I$4*C106*Inputs!$G$4</f>
        <v>0.1422264291528948</v>
      </c>
      <c r="W106">
        <f>Inputs!$I$5*D106*Inputs!$G$5</f>
        <v>0.20551679322687164</v>
      </c>
      <c r="X106">
        <f>Inputs!$I$6*E106*Inputs!$G$6</f>
        <v>0.37656981200100598</v>
      </c>
      <c r="Y106">
        <f>Inputs!$I$7*F106*Inputs!$G$7</f>
        <v>0</v>
      </c>
      <c r="Z106">
        <f>Inputs!$I$8*G106*Inputs!$G$8</f>
        <v>0</v>
      </c>
      <c r="AA106">
        <f>Inputs!$I$9*H106*Inputs!$G$9</f>
        <v>0.16590779367943137</v>
      </c>
      <c r="AB106">
        <f t="shared" si="16"/>
        <v>1.4198093054264589</v>
      </c>
      <c r="AD106">
        <f>Inputs!$I$2*ABS(A106-1)*Inputs!$H$2</f>
        <v>0</v>
      </c>
      <c r="AE106">
        <f>Inputs!$I$3*ABS(B106-1)*Inputs!$H$3</f>
        <v>1.1405796839520112E-2</v>
      </c>
      <c r="AF106">
        <f>Inputs!$I$4*ABS(C106-1)*Inputs!$H$4</f>
        <v>0</v>
      </c>
      <c r="AG106">
        <f>Inputs!$I$5*ABS(D106-1)*Inputs!$H$5</f>
        <v>0</v>
      </c>
      <c r="AH106">
        <f>Inputs!$I$6*ABS(E106-1)*Inputs!$H$6</f>
        <v>0</v>
      </c>
      <c r="AI106">
        <f>Inputs!$I$7*ABS(F106-1)*Inputs!$H$7</f>
        <v>1.49493001411365E-2</v>
      </c>
      <c r="AJ106">
        <f>Inputs!$I$8*ABS(G106-1)*Inputs!$H$8</f>
        <v>5.8391635937893226E-2</v>
      </c>
      <c r="AK106">
        <f>Inputs!$I$9*ABS(H106-1)*Inputs!$H$9</f>
        <v>0</v>
      </c>
      <c r="AL106">
        <f t="shared" si="12"/>
        <v>-8.4746732918549839E-2</v>
      </c>
      <c r="AN106" s="1">
        <f t="shared" si="13"/>
        <v>1.3350625725079091</v>
      </c>
      <c r="AO106">
        <f t="shared" si="17"/>
        <v>5.004657280008539E-3</v>
      </c>
      <c r="AP106">
        <f t="shared" si="18"/>
        <v>1.8737113345978845E-4</v>
      </c>
      <c r="AQ106" s="26">
        <f t="shared" si="14"/>
        <v>1.0031840426579588</v>
      </c>
      <c r="AR106">
        <f t="shared" si="15"/>
        <v>-3.1768425135387965E-4</v>
      </c>
    </row>
    <row r="107" spans="1:44" x14ac:dyDescent="0.25">
      <c r="A107">
        <v>1</v>
      </c>
      <c r="B107">
        <v>0</v>
      </c>
      <c r="C107">
        <v>1</v>
      </c>
      <c r="D107">
        <v>1</v>
      </c>
      <c r="E107">
        <v>0</v>
      </c>
      <c r="F107">
        <v>0</v>
      </c>
      <c r="G107">
        <v>0</v>
      </c>
      <c r="H107">
        <v>1</v>
      </c>
      <c r="J107">
        <f>(A107*Inputs!$E$2+ABS((A107-1))*(1-Inputs!$E$2))</f>
        <v>0.65</v>
      </c>
      <c r="K107">
        <f>(B107*Inputs!$E$3+ABS((B107-1))*(1-Inputs!$E$3))</f>
        <v>0.35</v>
      </c>
      <c r="L107">
        <f>(C107*Inputs!$E$4+ABS((C107-1))*(1-Inputs!$E$4))</f>
        <v>0.65</v>
      </c>
      <c r="M107">
        <f>(D107*Inputs!$E$5+ABS((D107-1))*(1-Inputs!$E$5))</f>
        <v>0.65</v>
      </c>
      <c r="N107">
        <f>(E107*Inputs!$E$6+ABS((E107-1))*(1-Inputs!$E$6))</f>
        <v>0.4</v>
      </c>
      <c r="O107">
        <f>(F107*Inputs!$E$7+ABS((F107-1))*(1-Inputs!$E$7))</f>
        <v>0.25</v>
      </c>
      <c r="P107">
        <f>(G107*Inputs!$E$8+ABS((G107-1))*(1-Inputs!$E$8))</f>
        <v>0.4</v>
      </c>
      <c r="Q107">
        <f>(H107*Inputs!$E$9+ABS((H107-1))*(1-Inputs!$E$9))</f>
        <v>0.65</v>
      </c>
      <c r="R107">
        <f t="shared" si="11"/>
        <v>2.4990874999999998E-3</v>
      </c>
      <c r="T107">
        <f>Inputs!$I$2*A107*Inputs!$G$2</f>
        <v>0.52958847736625514</v>
      </c>
      <c r="U107">
        <f>Inputs!$I$3*B107*Inputs!$G$3</f>
        <v>0</v>
      </c>
      <c r="V107">
        <f>Inputs!$I$4*C107*Inputs!$G$4</f>
        <v>0.1422264291528948</v>
      </c>
      <c r="W107">
        <f>Inputs!$I$5*D107*Inputs!$G$5</f>
        <v>0.20551679322687164</v>
      </c>
      <c r="X107">
        <f>Inputs!$I$6*E107*Inputs!$G$6</f>
        <v>0</v>
      </c>
      <c r="Y107">
        <f>Inputs!$I$7*F107*Inputs!$G$7</f>
        <v>0</v>
      </c>
      <c r="Z107">
        <f>Inputs!$I$8*G107*Inputs!$G$8</f>
        <v>0</v>
      </c>
      <c r="AA107">
        <f>Inputs!$I$9*H107*Inputs!$G$9</f>
        <v>0.16590779367943137</v>
      </c>
      <c r="AB107">
        <f t="shared" si="16"/>
        <v>1.043239493425453</v>
      </c>
      <c r="AD107">
        <f>Inputs!$I$2*ABS(A107-1)*Inputs!$H$2</f>
        <v>0</v>
      </c>
      <c r="AE107">
        <f>Inputs!$I$3*ABS(B107-1)*Inputs!$H$3</f>
        <v>1.1405796839520112E-2</v>
      </c>
      <c r="AF107">
        <f>Inputs!$I$4*ABS(C107-1)*Inputs!$H$4</f>
        <v>0</v>
      </c>
      <c r="AG107">
        <f>Inputs!$I$5*ABS(D107-1)*Inputs!$H$5</f>
        <v>0</v>
      </c>
      <c r="AH107">
        <f>Inputs!$I$6*ABS(E107-1)*Inputs!$H$6</f>
        <v>6.4042485034184693E-2</v>
      </c>
      <c r="AI107">
        <f>Inputs!$I$7*ABS(F107-1)*Inputs!$H$7</f>
        <v>1.49493001411365E-2</v>
      </c>
      <c r="AJ107">
        <f>Inputs!$I$8*ABS(G107-1)*Inputs!$H$8</f>
        <v>5.8391635937893226E-2</v>
      </c>
      <c r="AK107">
        <f>Inputs!$I$9*ABS(H107-1)*Inputs!$H$9</f>
        <v>0</v>
      </c>
      <c r="AL107">
        <f t="shared" si="12"/>
        <v>-0.14878921795273453</v>
      </c>
      <c r="AN107" s="1">
        <f t="shared" si="13"/>
        <v>0.89445027547271838</v>
      </c>
      <c r="AO107">
        <f t="shared" si="17"/>
        <v>2.2353095028054271E-3</v>
      </c>
      <c r="AP107">
        <f t="shared" si="18"/>
        <v>1.1024452563906171E-3</v>
      </c>
      <c r="AQ107" s="26">
        <f t="shared" si="14"/>
        <v>1.0015980142045051</v>
      </c>
      <c r="AR107">
        <f t="shared" si="15"/>
        <v>-3.7183727472045442E-4</v>
      </c>
    </row>
    <row r="108" spans="1:44" x14ac:dyDescent="0.25">
      <c r="A108">
        <v>1</v>
      </c>
      <c r="B108">
        <v>0</v>
      </c>
      <c r="C108">
        <v>1</v>
      </c>
      <c r="D108">
        <v>0</v>
      </c>
      <c r="E108">
        <v>1</v>
      </c>
      <c r="F108">
        <v>0</v>
      </c>
      <c r="G108">
        <v>0</v>
      </c>
      <c r="H108">
        <v>1</v>
      </c>
      <c r="J108">
        <f>(A108*Inputs!$E$2+ABS((A108-1))*(1-Inputs!$E$2))</f>
        <v>0.65</v>
      </c>
      <c r="K108">
        <f>(B108*Inputs!$E$3+ABS((B108-1))*(1-Inputs!$E$3))</f>
        <v>0.35</v>
      </c>
      <c r="L108">
        <f>(C108*Inputs!$E$4+ABS((C108-1))*(1-Inputs!$E$4))</f>
        <v>0.65</v>
      </c>
      <c r="M108">
        <f>(D108*Inputs!$E$5+ABS((D108-1))*(1-Inputs!$E$5))</f>
        <v>0.35</v>
      </c>
      <c r="N108">
        <f>(E108*Inputs!$E$6+ABS((E108-1))*(1-Inputs!$E$6))</f>
        <v>0.6</v>
      </c>
      <c r="O108">
        <f>(F108*Inputs!$E$7+ABS((F108-1))*(1-Inputs!$E$7))</f>
        <v>0.25</v>
      </c>
      <c r="P108">
        <f>(G108*Inputs!$E$8+ABS((G108-1))*(1-Inputs!$E$8))</f>
        <v>0.4</v>
      </c>
      <c r="Q108">
        <f>(H108*Inputs!$E$9+ABS((H108-1))*(1-Inputs!$E$9))</f>
        <v>0.65</v>
      </c>
      <c r="R108">
        <f t="shared" si="11"/>
        <v>2.0184937499999997E-3</v>
      </c>
      <c r="T108">
        <f>Inputs!$I$2*A108*Inputs!$G$2</f>
        <v>0.52958847736625514</v>
      </c>
      <c r="U108">
        <f>Inputs!$I$3*B108*Inputs!$G$3</f>
        <v>0</v>
      </c>
      <c r="V108">
        <f>Inputs!$I$4*C108*Inputs!$G$4</f>
        <v>0.1422264291528948</v>
      </c>
      <c r="W108">
        <f>Inputs!$I$5*D108*Inputs!$G$5</f>
        <v>0</v>
      </c>
      <c r="X108">
        <f>Inputs!$I$6*E108*Inputs!$G$6</f>
        <v>0.37656981200100598</v>
      </c>
      <c r="Y108">
        <f>Inputs!$I$7*F108*Inputs!$G$7</f>
        <v>0</v>
      </c>
      <c r="Z108">
        <f>Inputs!$I$8*G108*Inputs!$G$8</f>
        <v>0</v>
      </c>
      <c r="AA108">
        <f>Inputs!$I$9*H108*Inputs!$G$9</f>
        <v>0.16590779367943137</v>
      </c>
      <c r="AB108">
        <f t="shared" si="16"/>
        <v>1.2142925121995871</v>
      </c>
      <c r="AD108">
        <f>Inputs!$I$2*ABS(A108-1)*Inputs!$H$2</f>
        <v>0</v>
      </c>
      <c r="AE108">
        <f>Inputs!$I$3*ABS(B108-1)*Inputs!$H$3</f>
        <v>1.1405796839520112E-2</v>
      </c>
      <c r="AF108">
        <f>Inputs!$I$4*ABS(C108-1)*Inputs!$H$4</f>
        <v>0</v>
      </c>
      <c r="AG108">
        <f>Inputs!$I$5*ABS(D108-1)*Inputs!$H$5</f>
        <v>3.0032539984442563E-2</v>
      </c>
      <c r="AH108">
        <f>Inputs!$I$6*ABS(E108-1)*Inputs!$H$6</f>
        <v>0</v>
      </c>
      <c r="AI108">
        <f>Inputs!$I$7*ABS(F108-1)*Inputs!$H$7</f>
        <v>1.49493001411365E-2</v>
      </c>
      <c r="AJ108">
        <f>Inputs!$I$8*ABS(G108-1)*Inputs!$H$8</f>
        <v>5.8391635937893226E-2</v>
      </c>
      <c r="AK108">
        <f>Inputs!$I$9*ABS(H108-1)*Inputs!$H$9</f>
        <v>0</v>
      </c>
      <c r="AL108">
        <f t="shared" si="12"/>
        <v>-0.11477927290299239</v>
      </c>
      <c r="AN108" s="1">
        <f t="shared" si="13"/>
        <v>1.0995132392965947</v>
      </c>
      <c r="AO108">
        <f t="shared" si="17"/>
        <v>2.2193606015624306E-3</v>
      </c>
      <c r="AP108">
        <f t="shared" si="18"/>
        <v>4.2548082002993317E-4</v>
      </c>
      <c r="AQ108" s="26">
        <f t="shared" si="14"/>
        <v>1.001498249226257</v>
      </c>
      <c r="AR108">
        <f t="shared" si="15"/>
        <v>-2.3168124498423447E-4</v>
      </c>
    </row>
    <row r="109" spans="1:44" x14ac:dyDescent="0.25">
      <c r="A109">
        <v>1</v>
      </c>
      <c r="B109">
        <v>0</v>
      </c>
      <c r="C109">
        <v>1</v>
      </c>
      <c r="D109">
        <v>0</v>
      </c>
      <c r="E109">
        <v>0</v>
      </c>
      <c r="F109">
        <v>0</v>
      </c>
      <c r="G109">
        <v>0</v>
      </c>
      <c r="H109">
        <v>1</v>
      </c>
      <c r="J109">
        <f>(A109*Inputs!$E$2+ABS((A109-1))*(1-Inputs!$E$2))</f>
        <v>0.65</v>
      </c>
      <c r="K109">
        <f>(B109*Inputs!$E$3+ABS((B109-1))*(1-Inputs!$E$3))</f>
        <v>0.35</v>
      </c>
      <c r="L109">
        <f>(C109*Inputs!$E$4+ABS((C109-1))*(1-Inputs!$E$4))</f>
        <v>0.65</v>
      </c>
      <c r="M109">
        <f>(D109*Inputs!$E$5+ABS((D109-1))*(1-Inputs!$E$5))</f>
        <v>0.35</v>
      </c>
      <c r="N109">
        <f>(E109*Inputs!$E$6+ABS((E109-1))*(1-Inputs!$E$6))</f>
        <v>0.4</v>
      </c>
      <c r="O109">
        <f>(F109*Inputs!$E$7+ABS((F109-1))*(1-Inputs!$E$7))</f>
        <v>0.25</v>
      </c>
      <c r="P109">
        <f>(G109*Inputs!$E$8+ABS((G109-1))*(1-Inputs!$E$8))</f>
        <v>0.4</v>
      </c>
      <c r="Q109">
        <f>(H109*Inputs!$E$9+ABS((H109-1))*(1-Inputs!$E$9))</f>
        <v>0.65</v>
      </c>
      <c r="R109">
        <f t="shared" si="11"/>
        <v>1.3456625E-3</v>
      </c>
      <c r="T109">
        <f>Inputs!$I$2*A109*Inputs!$G$2</f>
        <v>0.52958847736625514</v>
      </c>
      <c r="U109">
        <f>Inputs!$I$3*B109*Inputs!$G$3</f>
        <v>0</v>
      </c>
      <c r="V109">
        <f>Inputs!$I$4*C109*Inputs!$G$4</f>
        <v>0.1422264291528948</v>
      </c>
      <c r="W109">
        <f>Inputs!$I$5*D109*Inputs!$G$5</f>
        <v>0</v>
      </c>
      <c r="X109">
        <f>Inputs!$I$6*E109*Inputs!$G$6</f>
        <v>0</v>
      </c>
      <c r="Y109">
        <f>Inputs!$I$7*F109*Inputs!$G$7</f>
        <v>0</v>
      </c>
      <c r="Z109">
        <f>Inputs!$I$8*G109*Inputs!$G$8</f>
        <v>0</v>
      </c>
      <c r="AA109">
        <f>Inputs!$I$9*H109*Inputs!$G$9</f>
        <v>0.16590779367943137</v>
      </c>
      <c r="AB109">
        <f t="shared" si="16"/>
        <v>0.83772270019858119</v>
      </c>
      <c r="AD109">
        <f>Inputs!$I$2*ABS(A109-1)*Inputs!$H$2</f>
        <v>0</v>
      </c>
      <c r="AE109">
        <f>Inputs!$I$3*ABS(B109-1)*Inputs!$H$3</f>
        <v>1.1405796839520112E-2</v>
      </c>
      <c r="AF109">
        <f>Inputs!$I$4*ABS(C109-1)*Inputs!$H$4</f>
        <v>0</v>
      </c>
      <c r="AG109">
        <f>Inputs!$I$5*ABS(D109-1)*Inputs!$H$5</f>
        <v>3.0032539984442563E-2</v>
      </c>
      <c r="AH109">
        <f>Inputs!$I$6*ABS(E109-1)*Inputs!$H$6</f>
        <v>6.4042485034184693E-2</v>
      </c>
      <c r="AI109">
        <f>Inputs!$I$7*ABS(F109-1)*Inputs!$H$7</f>
        <v>1.49493001411365E-2</v>
      </c>
      <c r="AJ109">
        <f>Inputs!$I$8*ABS(G109-1)*Inputs!$H$8</f>
        <v>5.8391635937893226E-2</v>
      </c>
      <c r="AK109">
        <f>Inputs!$I$9*ABS(H109-1)*Inputs!$H$9</f>
        <v>0</v>
      </c>
      <c r="AL109">
        <f t="shared" si="12"/>
        <v>-0.17882175793717708</v>
      </c>
      <c r="AN109" s="1">
        <f t="shared" si="13"/>
        <v>0.65890094226140405</v>
      </c>
      <c r="AO109">
        <f t="shared" si="17"/>
        <v>8.8665828921583663E-4</v>
      </c>
      <c r="AP109">
        <f t="shared" si="18"/>
        <v>1.089338491837485E-3</v>
      </c>
      <c r="AQ109" s="26">
        <f t="shared" si="14"/>
        <v>1.0006813462175008</v>
      </c>
      <c r="AR109">
        <f t="shared" si="15"/>
        <v>-2.4063373384013655E-4</v>
      </c>
    </row>
    <row r="110" spans="1:44" x14ac:dyDescent="0.25">
      <c r="A110">
        <v>1</v>
      </c>
      <c r="B110">
        <v>0</v>
      </c>
      <c r="C110">
        <v>0</v>
      </c>
      <c r="D110">
        <v>1</v>
      </c>
      <c r="E110">
        <v>1</v>
      </c>
      <c r="F110">
        <v>0</v>
      </c>
      <c r="G110">
        <v>0</v>
      </c>
      <c r="H110">
        <v>1</v>
      </c>
      <c r="J110">
        <f>(A110*Inputs!$E$2+ABS((A110-1))*(1-Inputs!$E$2))</f>
        <v>0.65</v>
      </c>
      <c r="K110">
        <f>(B110*Inputs!$E$3+ABS((B110-1))*(1-Inputs!$E$3))</f>
        <v>0.35</v>
      </c>
      <c r="L110">
        <f>(C110*Inputs!$E$4+ABS((C110-1))*(1-Inputs!$E$4))</f>
        <v>0.35</v>
      </c>
      <c r="M110">
        <f>(D110*Inputs!$E$5+ABS((D110-1))*(1-Inputs!$E$5))</f>
        <v>0.65</v>
      </c>
      <c r="N110">
        <f>(E110*Inputs!$E$6+ABS((E110-1))*(1-Inputs!$E$6))</f>
        <v>0.6</v>
      </c>
      <c r="O110">
        <f>(F110*Inputs!$E$7+ABS((F110-1))*(1-Inputs!$E$7))</f>
        <v>0.25</v>
      </c>
      <c r="P110">
        <f>(G110*Inputs!$E$8+ABS((G110-1))*(1-Inputs!$E$8))</f>
        <v>0.4</v>
      </c>
      <c r="Q110">
        <f>(H110*Inputs!$E$9+ABS((H110-1))*(1-Inputs!$E$9))</f>
        <v>0.65</v>
      </c>
      <c r="R110">
        <f t="shared" si="11"/>
        <v>2.0184937500000001E-3</v>
      </c>
      <c r="T110">
        <f>Inputs!$I$2*A110*Inputs!$G$2</f>
        <v>0.52958847736625514</v>
      </c>
      <c r="U110">
        <f>Inputs!$I$3*B110*Inputs!$G$3</f>
        <v>0</v>
      </c>
      <c r="V110">
        <f>Inputs!$I$4*C110*Inputs!$G$4</f>
        <v>0</v>
      </c>
      <c r="W110">
        <f>Inputs!$I$5*D110*Inputs!$G$5</f>
        <v>0.20551679322687164</v>
      </c>
      <c r="X110">
        <f>Inputs!$I$6*E110*Inputs!$G$6</f>
        <v>0.37656981200100598</v>
      </c>
      <c r="Y110">
        <f>Inputs!$I$7*F110*Inputs!$G$7</f>
        <v>0</v>
      </c>
      <c r="Z110">
        <f>Inputs!$I$8*G110*Inputs!$G$8</f>
        <v>0</v>
      </c>
      <c r="AA110">
        <f>Inputs!$I$9*H110*Inputs!$G$9</f>
        <v>0.16590779367943137</v>
      </c>
      <c r="AB110">
        <f t="shared" si="16"/>
        <v>1.2775828762735641</v>
      </c>
      <c r="AD110">
        <f>Inputs!$I$2*ABS(A110-1)*Inputs!$H$2</f>
        <v>0</v>
      </c>
      <c r="AE110">
        <f>Inputs!$I$3*ABS(B110-1)*Inputs!$H$3</f>
        <v>1.1405796839520112E-2</v>
      </c>
      <c r="AF110">
        <f>Inputs!$I$4*ABS(C110-1)*Inputs!$H$4</f>
        <v>8.9678988679000853E-3</v>
      </c>
      <c r="AG110">
        <f>Inputs!$I$5*ABS(D110-1)*Inputs!$H$5</f>
        <v>0</v>
      </c>
      <c r="AH110">
        <f>Inputs!$I$6*ABS(E110-1)*Inputs!$H$6</f>
        <v>0</v>
      </c>
      <c r="AI110">
        <f>Inputs!$I$7*ABS(F110-1)*Inputs!$H$7</f>
        <v>1.49493001411365E-2</v>
      </c>
      <c r="AJ110">
        <f>Inputs!$I$8*ABS(G110-1)*Inputs!$H$8</f>
        <v>5.8391635937893226E-2</v>
      </c>
      <c r="AK110">
        <f>Inputs!$I$9*ABS(H110-1)*Inputs!$H$9</f>
        <v>0</v>
      </c>
      <c r="AL110">
        <f t="shared" si="12"/>
        <v>-9.3714631786449926E-2</v>
      </c>
      <c r="AN110" s="1">
        <f t="shared" si="13"/>
        <v>1.1838682444871143</v>
      </c>
      <c r="AO110">
        <f t="shared" si="17"/>
        <v>2.3896306523207124E-3</v>
      </c>
      <c r="AP110">
        <f t="shared" si="18"/>
        <v>2.8349515171938807E-4</v>
      </c>
      <c r="AQ110" s="26">
        <f t="shared" si="14"/>
        <v>1.0015778844347056</v>
      </c>
      <c r="AR110">
        <f t="shared" si="15"/>
        <v>-1.8916239854450053E-4</v>
      </c>
    </row>
    <row r="111" spans="1:44" x14ac:dyDescent="0.25">
      <c r="A111">
        <v>1</v>
      </c>
      <c r="B111">
        <v>0</v>
      </c>
      <c r="C111">
        <v>0</v>
      </c>
      <c r="D111">
        <v>1</v>
      </c>
      <c r="E111">
        <v>0</v>
      </c>
      <c r="F111">
        <v>0</v>
      </c>
      <c r="G111">
        <v>0</v>
      </c>
      <c r="H111">
        <v>1</v>
      </c>
      <c r="J111">
        <f>(A111*Inputs!$E$2+ABS((A111-1))*(1-Inputs!$E$2))</f>
        <v>0.65</v>
      </c>
      <c r="K111">
        <f>(B111*Inputs!$E$3+ABS((B111-1))*(1-Inputs!$E$3))</f>
        <v>0.35</v>
      </c>
      <c r="L111">
        <f>(C111*Inputs!$E$4+ABS((C111-1))*(1-Inputs!$E$4))</f>
        <v>0.35</v>
      </c>
      <c r="M111">
        <f>(D111*Inputs!$E$5+ABS((D111-1))*(1-Inputs!$E$5))</f>
        <v>0.65</v>
      </c>
      <c r="N111">
        <f>(E111*Inputs!$E$6+ABS((E111-1))*(1-Inputs!$E$6))</f>
        <v>0.4</v>
      </c>
      <c r="O111">
        <f>(F111*Inputs!$E$7+ABS((F111-1))*(1-Inputs!$E$7))</f>
        <v>0.25</v>
      </c>
      <c r="P111">
        <f>(G111*Inputs!$E$8+ABS((G111-1))*(1-Inputs!$E$8))</f>
        <v>0.4</v>
      </c>
      <c r="Q111">
        <f>(H111*Inputs!$E$9+ABS((H111-1))*(1-Inputs!$E$9))</f>
        <v>0.65</v>
      </c>
      <c r="R111">
        <f t="shared" si="11"/>
        <v>1.3456625E-3</v>
      </c>
      <c r="T111">
        <f>Inputs!$I$2*A111*Inputs!$G$2</f>
        <v>0.52958847736625514</v>
      </c>
      <c r="U111">
        <f>Inputs!$I$3*B111*Inputs!$G$3</f>
        <v>0</v>
      </c>
      <c r="V111">
        <f>Inputs!$I$4*C111*Inputs!$G$4</f>
        <v>0</v>
      </c>
      <c r="W111">
        <f>Inputs!$I$5*D111*Inputs!$G$5</f>
        <v>0.20551679322687164</v>
      </c>
      <c r="X111">
        <f>Inputs!$I$6*E111*Inputs!$G$6</f>
        <v>0</v>
      </c>
      <c r="Y111">
        <f>Inputs!$I$7*F111*Inputs!$G$7</f>
        <v>0</v>
      </c>
      <c r="Z111">
        <f>Inputs!$I$8*G111*Inputs!$G$8</f>
        <v>0</v>
      </c>
      <c r="AA111">
        <f>Inputs!$I$9*H111*Inputs!$G$9</f>
        <v>0.16590779367943137</v>
      </c>
      <c r="AB111">
        <f t="shared" si="16"/>
        <v>0.90101306427255823</v>
      </c>
      <c r="AD111">
        <f>Inputs!$I$2*ABS(A111-1)*Inputs!$H$2</f>
        <v>0</v>
      </c>
      <c r="AE111">
        <f>Inputs!$I$3*ABS(B111-1)*Inputs!$H$3</f>
        <v>1.1405796839520112E-2</v>
      </c>
      <c r="AF111">
        <f>Inputs!$I$4*ABS(C111-1)*Inputs!$H$4</f>
        <v>8.9678988679000853E-3</v>
      </c>
      <c r="AG111">
        <f>Inputs!$I$5*ABS(D111-1)*Inputs!$H$5</f>
        <v>0</v>
      </c>
      <c r="AH111">
        <f>Inputs!$I$6*ABS(E111-1)*Inputs!$H$6</f>
        <v>6.4042485034184693E-2</v>
      </c>
      <c r="AI111">
        <f>Inputs!$I$7*ABS(F111-1)*Inputs!$H$7</f>
        <v>1.49493001411365E-2</v>
      </c>
      <c r="AJ111">
        <f>Inputs!$I$8*ABS(G111-1)*Inputs!$H$8</f>
        <v>5.8391635937893226E-2</v>
      </c>
      <c r="AK111">
        <f>Inputs!$I$9*ABS(H111-1)*Inputs!$H$9</f>
        <v>0</v>
      </c>
      <c r="AL111">
        <f t="shared" si="12"/>
        <v>-0.15775711682063462</v>
      </c>
      <c r="AN111" s="1">
        <f t="shared" si="13"/>
        <v>0.74325594745192358</v>
      </c>
      <c r="AO111">
        <f t="shared" si="17"/>
        <v>1.0001716563880242E-3</v>
      </c>
      <c r="AP111">
        <f t="shared" si="18"/>
        <v>8.9465060872258198E-4</v>
      </c>
      <c r="AQ111" s="26">
        <f t="shared" si="14"/>
        <v>1.0007481378384409</v>
      </c>
      <c r="AR111">
        <f t="shared" si="15"/>
        <v>-2.1228783621364723E-4</v>
      </c>
    </row>
    <row r="112" spans="1:44" x14ac:dyDescent="0.25">
      <c r="A112">
        <v>1</v>
      </c>
      <c r="B112">
        <v>0</v>
      </c>
      <c r="C112">
        <v>0</v>
      </c>
      <c r="D112">
        <v>0</v>
      </c>
      <c r="E112">
        <v>1</v>
      </c>
      <c r="F112">
        <v>0</v>
      </c>
      <c r="G112">
        <v>0</v>
      </c>
      <c r="H112">
        <v>1</v>
      </c>
      <c r="J112">
        <f>(A112*Inputs!$E$2+ABS((A112-1))*(1-Inputs!$E$2))</f>
        <v>0.65</v>
      </c>
      <c r="K112">
        <f>(B112*Inputs!$E$3+ABS((B112-1))*(1-Inputs!$E$3))</f>
        <v>0.35</v>
      </c>
      <c r="L112">
        <f>(C112*Inputs!$E$4+ABS((C112-1))*(1-Inputs!$E$4))</f>
        <v>0.35</v>
      </c>
      <c r="M112">
        <f>(D112*Inputs!$E$5+ABS((D112-1))*(1-Inputs!$E$5))</f>
        <v>0.35</v>
      </c>
      <c r="N112">
        <f>(E112*Inputs!$E$6+ABS((E112-1))*(1-Inputs!$E$6))</f>
        <v>0.6</v>
      </c>
      <c r="O112">
        <f>(F112*Inputs!$E$7+ABS((F112-1))*(1-Inputs!$E$7))</f>
        <v>0.25</v>
      </c>
      <c r="P112">
        <f>(G112*Inputs!$E$8+ABS((G112-1))*(1-Inputs!$E$8))</f>
        <v>0.4</v>
      </c>
      <c r="Q112">
        <f>(H112*Inputs!$E$9+ABS((H112-1))*(1-Inputs!$E$9))</f>
        <v>0.65</v>
      </c>
      <c r="R112">
        <f t="shared" si="11"/>
        <v>1.0868812499999999E-3</v>
      </c>
      <c r="T112">
        <f>Inputs!$I$2*A112*Inputs!$G$2</f>
        <v>0.52958847736625514</v>
      </c>
      <c r="U112">
        <f>Inputs!$I$3*B112*Inputs!$G$3</f>
        <v>0</v>
      </c>
      <c r="V112">
        <f>Inputs!$I$4*C112*Inputs!$G$4</f>
        <v>0</v>
      </c>
      <c r="W112">
        <f>Inputs!$I$5*D112*Inputs!$G$5</f>
        <v>0</v>
      </c>
      <c r="X112">
        <f>Inputs!$I$6*E112*Inputs!$G$6</f>
        <v>0.37656981200100598</v>
      </c>
      <c r="Y112">
        <f>Inputs!$I$7*F112*Inputs!$G$7</f>
        <v>0</v>
      </c>
      <c r="Z112">
        <f>Inputs!$I$8*G112*Inputs!$G$8</f>
        <v>0</v>
      </c>
      <c r="AA112">
        <f>Inputs!$I$9*H112*Inputs!$G$9</f>
        <v>0.16590779367943137</v>
      </c>
      <c r="AB112">
        <f t="shared" si="16"/>
        <v>1.0720660830466924</v>
      </c>
      <c r="AD112">
        <f>Inputs!$I$2*ABS(A112-1)*Inputs!$H$2</f>
        <v>0</v>
      </c>
      <c r="AE112">
        <f>Inputs!$I$3*ABS(B112-1)*Inputs!$H$3</f>
        <v>1.1405796839520112E-2</v>
      </c>
      <c r="AF112">
        <f>Inputs!$I$4*ABS(C112-1)*Inputs!$H$4</f>
        <v>8.9678988679000853E-3</v>
      </c>
      <c r="AG112">
        <f>Inputs!$I$5*ABS(D112-1)*Inputs!$H$5</f>
        <v>3.0032539984442563E-2</v>
      </c>
      <c r="AH112">
        <f>Inputs!$I$6*ABS(E112-1)*Inputs!$H$6</f>
        <v>0</v>
      </c>
      <c r="AI112">
        <f>Inputs!$I$7*ABS(F112-1)*Inputs!$H$7</f>
        <v>1.49493001411365E-2</v>
      </c>
      <c r="AJ112">
        <f>Inputs!$I$8*ABS(G112-1)*Inputs!$H$8</f>
        <v>5.8391635937893226E-2</v>
      </c>
      <c r="AK112">
        <f>Inputs!$I$9*ABS(H112-1)*Inputs!$H$9</f>
        <v>0</v>
      </c>
      <c r="AL112">
        <f t="shared" si="12"/>
        <v>-0.12374717177089248</v>
      </c>
      <c r="AN112" s="1">
        <f t="shared" si="13"/>
        <v>0.94831891127579993</v>
      </c>
      <c r="AO112">
        <f t="shared" si="17"/>
        <v>1.0307100436860804E-3</v>
      </c>
      <c r="AP112">
        <f t="shared" si="18"/>
        <v>4.0484552669660563E-4</v>
      </c>
      <c r="AQ112" s="26">
        <f t="shared" si="14"/>
        <v>1.0007251766358276</v>
      </c>
      <c r="AR112">
        <f t="shared" si="15"/>
        <v>-1.3449848073831232E-4</v>
      </c>
    </row>
    <row r="113" spans="1:44" x14ac:dyDescent="0.25">
      <c r="A113">
        <v>1</v>
      </c>
      <c r="B113">
        <v>0</v>
      </c>
      <c r="C113">
        <v>0</v>
      </c>
      <c r="D113">
        <v>0</v>
      </c>
      <c r="E113">
        <v>0</v>
      </c>
      <c r="F113">
        <v>0</v>
      </c>
      <c r="G113">
        <v>0</v>
      </c>
      <c r="H113">
        <v>1</v>
      </c>
      <c r="J113">
        <f>(A113*Inputs!$E$2+ABS((A113-1))*(1-Inputs!$E$2))</f>
        <v>0.65</v>
      </c>
      <c r="K113">
        <f>(B113*Inputs!$E$3+ABS((B113-1))*(1-Inputs!$E$3))</f>
        <v>0.35</v>
      </c>
      <c r="L113">
        <f>(C113*Inputs!$E$4+ABS((C113-1))*(1-Inputs!$E$4))</f>
        <v>0.35</v>
      </c>
      <c r="M113">
        <f>(D113*Inputs!$E$5+ABS((D113-1))*(1-Inputs!$E$5))</f>
        <v>0.35</v>
      </c>
      <c r="N113">
        <f>(E113*Inputs!$E$6+ABS((E113-1))*(1-Inputs!$E$6))</f>
        <v>0.4</v>
      </c>
      <c r="O113">
        <f>(F113*Inputs!$E$7+ABS((F113-1))*(1-Inputs!$E$7))</f>
        <v>0.25</v>
      </c>
      <c r="P113">
        <f>(G113*Inputs!$E$8+ABS((G113-1))*(1-Inputs!$E$8))</f>
        <v>0.4</v>
      </c>
      <c r="Q113">
        <f>(H113*Inputs!$E$9+ABS((H113-1))*(1-Inputs!$E$9))</f>
        <v>0.65</v>
      </c>
      <c r="R113">
        <f t="shared" si="11"/>
        <v>7.2458749999999991E-4</v>
      </c>
      <c r="T113">
        <f>Inputs!$I$2*A113*Inputs!$G$2</f>
        <v>0.52958847736625514</v>
      </c>
      <c r="U113">
        <f>Inputs!$I$3*B113*Inputs!$G$3</f>
        <v>0</v>
      </c>
      <c r="V113">
        <f>Inputs!$I$4*C113*Inputs!$G$4</f>
        <v>0</v>
      </c>
      <c r="W113">
        <f>Inputs!$I$5*D113*Inputs!$G$5</f>
        <v>0</v>
      </c>
      <c r="X113">
        <f>Inputs!$I$6*E113*Inputs!$G$6</f>
        <v>0</v>
      </c>
      <c r="Y113">
        <f>Inputs!$I$7*F113*Inputs!$G$7</f>
        <v>0</v>
      </c>
      <c r="Z113">
        <f>Inputs!$I$8*G113*Inputs!$G$8</f>
        <v>0</v>
      </c>
      <c r="AA113">
        <f>Inputs!$I$9*H113*Inputs!$G$9</f>
        <v>0.16590779367943137</v>
      </c>
      <c r="AB113">
        <f t="shared" si="16"/>
        <v>0.69549627104568645</v>
      </c>
      <c r="AD113">
        <f>Inputs!$I$2*ABS(A113-1)*Inputs!$H$2</f>
        <v>0</v>
      </c>
      <c r="AE113">
        <f>Inputs!$I$3*ABS(B113-1)*Inputs!$H$3</f>
        <v>1.1405796839520112E-2</v>
      </c>
      <c r="AF113">
        <f>Inputs!$I$4*ABS(C113-1)*Inputs!$H$4</f>
        <v>8.9678988679000853E-3</v>
      </c>
      <c r="AG113">
        <f>Inputs!$I$5*ABS(D113-1)*Inputs!$H$5</f>
        <v>3.0032539984442563E-2</v>
      </c>
      <c r="AH113">
        <f>Inputs!$I$6*ABS(E113-1)*Inputs!$H$6</f>
        <v>6.4042485034184693E-2</v>
      </c>
      <c r="AI113">
        <f>Inputs!$I$7*ABS(F113-1)*Inputs!$H$7</f>
        <v>1.49493001411365E-2</v>
      </c>
      <c r="AJ113">
        <f>Inputs!$I$8*ABS(G113-1)*Inputs!$H$8</f>
        <v>5.8391635937893226E-2</v>
      </c>
      <c r="AK113">
        <f>Inputs!$I$9*ABS(H113-1)*Inputs!$H$9</f>
        <v>0</v>
      </c>
      <c r="AL113">
        <f t="shared" si="12"/>
        <v>-0.18778965680507717</v>
      </c>
      <c r="AN113" s="1">
        <f t="shared" si="13"/>
        <v>0.50770661424060926</v>
      </c>
      <c r="AO113">
        <f t="shared" si="17"/>
        <v>3.6787786634606744E-4</v>
      </c>
      <c r="AP113">
        <f t="shared" si="18"/>
        <v>8.0026844971915788E-4</v>
      </c>
      <c r="AQ113" s="26">
        <f t="shared" si="14"/>
        <v>1.0002975524225732</v>
      </c>
      <c r="AR113">
        <f t="shared" si="15"/>
        <v>-1.3607003795024884E-4</v>
      </c>
    </row>
    <row r="114" spans="1:44" x14ac:dyDescent="0.25">
      <c r="A114">
        <v>0</v>
      </c>
      <c r="B114">
        <v>1</v>
      </c>
      <c r="C114">
        <v>1</v>
      </c>
      <c r="D114">
        <v>1</v>
      </c>
      <c r="E114">
        <v>1</v>
      </c>
      <c r="F114">
        <v>0</v>
      </c>
      <c r="G114">
        <v>0</v>
      </c>
      <c r="H114">
        <v>1</v>
      </c>
      <c r="J114">
        <f>(A114*Inputs!$E$2+ABS((A114-1))*(1-Inputs!$E$2))</f>
        <v>0.35</v>
      </c>
      <c r="K114">
        <f>(B114*Inputs!$E$3+ABS((B114-1))*(1-Inputs!$E$3))</f>
        <v>0.65</v>
      </c>
      <c r="L114">
        <f>(C114*Inputs!$E$4+ABS((C114-1))*(1-Inputs!$E$4))</f>
        <v>0.65</v>
      </c>
      <c r="M114">
        <f>(D114*Inputs!$E$5+ABS((D114-1))*(1-Inputs!$E$5))</f>
        <v>0.65</v>
      </c>
      <c r="N114">
        <f>(E114*Inputs!$E$6+ABS((E114-1))*(1-Inputs!$E$6))</f>
        <v>0.6</v>
      </c>
      <c r="O114">
        <f>(F114*Inputs!$E$7+ABS((F114-1))*(1-Inputs!$E$7))</f>
        <v>0.25</v>
      </c>
      <c r="P114">
        <f>(G114*Inputs!$E$8+ABS((G114-1))*(1-Inputs!$E$8))</f>
        <v>0.4</v>
      </c>
      <c r="Q114">
        <f>(H114*Inputs!$E$9+ABS((H114-1))*(1-Inputs!$E$9))</f>
        <v>0.65</v>
      </c>
      <c r="R114">
        <f t="shared" si="11"/>
        <v>3.74863125E-3</v>
      </c>
      <c r="T114">
        <f>Inputs!$I$2*A114*Inputs!$G$2</f>
        <v>0</v>
      </c>
      <c r="U114">
        <f>Inputs!$I$3*B114*Inputs!$G$3</f>
        <v>0.20645773829738062</v>
      </c>
      <c r="V114">
        <f>Inputs!$I$4*C114*Inputs!$G$4</f>
        <v>0.1422264291528948</v>
      </c>
      <c r="W114">
        <f>Inputs!$I$5*D114*Inputs!$G$5</f>
        <v>0.20551679322687164</v>
      </c>
      <c r="X114">
        <f>Inputs!$I$6*E114*Inputs!$G$6</f>
        <v>0.37656981200100598</v>
      </c>
      <c r="Y114">
        <f>Inputs!$I$7*F114*Inputs!$G$7</f>
        <v>0</v>
      </c>
      <c r="Z114">
        <f>Inputs!$I$8*G114*Inputs!$G$8</f>
        <v>0</v>
      </c>
      <c r="AA114">
        <f>Inputs!$I$9*H114*Inputs!$G$9</f>
        <v>0.16590779367943137</v>
      </c>
      <c r="AB114">
        <f t="shared" si="16"/>
        <v>1.0966785663575844</v>
      </c>
      <c r="AD114">
        <f>Inputs!$I$2*ABS(A114-1)*Inputs!$H$2</f>
        <v>3.0082304526748989E-2</v>
      </c>
      <c r="AE114">
        <f>Inputs!$I$3*ABS(B114-1)*Inputs!$H$3</f>
        <v>0</v>
      </c>
      <c r="AF114">
        <f>Inputs!$I$4*ABS(C114-1)*Inputs!$H$4</f>
        <v>0</v>
      </c>
      <c r="AG114">
        <f>Inputs!$I$5*ABS(D114-1)*Inputs!$H$5</f>
        <v>0</v>
      </c>
      <c r="AH114">
        <f>Inputs!$I$6*ABS(E114-1)*Inputs!$H$6</f>
        <v>0</v>
      </c>
      <c r="AI114">
        <f>Inputs!$I$7*ABS(F114-1)*Inputs!$H$7</f>
        <v>1.49493001411365E-2</v>
      </c>
      <c r="AJ114">
        <f>Inputs!$I$8*ABS(G114-1)*Inputs!$H$8</f>
        <v>5.8391635937893226E-2</v>
      </c>
      <c r="AK114">
        <f>Inputs!$I$9*ABS(H114-1)*Inputs!$H$9</f>
        <v>0</v>
      </c>
      <c r="AL114">
        <f t="shared" si="12"/>
        <v>-0.1034232406057787</v>
      </c>
      <c r="AN114" s="1">
        <f t="shared" si="13"/>
        <v>0.99325532575180575</v>
      </c>
      <c r="AO114">
        <f t="shared" si="17"/>
        <v>3.7233479533421488E-3</v>
      </c>
      <c r="AP114">
        <f t="shared" si="18"/>
        <v>1.1982585177869242E-3</v>
      </c>
      <c r="AQ114" s="26">
        <f t="shared" si="14"/>
        <v>1.0025890359494947</v>
      </c>
      <c r="AR114">
        <f t="shared" si="15"/>
        <v>-3.8769559171109095E-4</v>
      </c>
    </row>
    <row r="115" spans="1:44" x14ac:dyDescent="0.25">
      <c r="A115">
        <v>0</v>
      </c>
      <c r="B115">
        <v>1</v>
      </c>
      <c r="C115">
        <v>1</v>
      </c>
      <c r="D115">
        <v>1</v>
      </c>
      <c r="E115">
        <v>0</v>
      </c>
      <c r="F115">
        <v>0</v>
      </c>
      <c r="G115">
        <v>0</v>
      </c>
      <c r="H115">
        <v>1</v>
      </c>
      <c r="J115">
        <f>(A115*Inputs!$E$2+ABS((A115-1))*(1-Inputs!$E$2))</f>
        <v>0.35</v>
      </c>
      <c r="K115">
        <f>(B115*Inputs!$E$3+ABS((B115-1))*(1-Inputs!$E$3))</f>
        <v>0.65</v>
      </c>
      <c r="L115">
        <f>(C115*Inputs!$E$4+ABS((C115-1))*(1-Inputs!$E$4))</f>
        <v>0.65</v>
      </c>
      <c r="M115">
        <f>(D115*Inputs!$E$5+ABS((D115-1))*(1-Inputs!$E$5))</f>
        <v>0.65</v>
      </c>
      <c r="N115">
        <f>(E115*Inputs!$E$6+ABS((E115-1))*(1-Inputs!$E$6))</f>
        <v>0.4</v>
      </c>
      <c r="O115">
        <f>(F115*Inputs!$E$7+ABS((F115-1))*(1-Inputs!$E$7))</f>
        <v>0.25</v>
      </c>
      <c r="P115">
        <f>(G115*Inputs!$E$8+ABS((G115-1))*(1-Inputs!$E$8))</f>
        <v>0.4</v>
      </c>
      <c r="Q115">
        <f>(H115*Inputs!$E$9+ABS((H115-1))*(1-Inputs!$E$9))</f>
        <v>0.65</v>
      </c>
      <c r="R115">
        <f t="shared" si="11"/>
        <v>2.4990874999999998E-3</v>
      </c>
      <c r="T115">
        <f>Inputs!$I$2*A115*Inputs!$G$2</f>
        <v>0</v>
      </c>
      <c r="U115">
        <f>Inputs!$I$3*B115*Inputs!$G$3</f>
        <v>0.20645773829738062</v>
      </c>
      <c r="V115">
        <f>Inputs!$I$4*C115*Inputs!$G$4</f>
        <v>0.1422264291528948</v>
      </c>
      <c r="W115">
        <f>Inputs!$I$5*D115*Inputs!$G$5</f>
        <v>0.20551679322687164</v>
      </c>
      <c r="X115">
        <f>Inputs!$I$6*E115*Inputs!$G$6</f>
        <v>0</v>
      </c>
      <c r="Y115">
        <f>Inputs!$I$7*F115*Inputs!$G$7</f>
        <v>0</v>
      </c>
      <c r="Z115">
        <f>Inputs!$I$8*G115*Inputs!$G$8</f>
        <v>0</v>
      </c>
      <c r="AA115">
        <f>Inputs!$I$9*H115*Inputs!$G$9</f>
        <v>0.16590779367943137</v>
      </c>
      <c r="AB115">
        <f t="shared" si="16"/>
        <v>0.72010875435657851</v>
      </c>
      <c r="AD115">
        <f>Inputs!$I$2*ABS(A115-1)*Inputs!$H$2</f>
        <v>3.0082304526748989E-2</v>
      </c>
      <c r="AE115">
        <f>Inputs!$I$3*ABS(B115-1)*Inputs!$H$3</f>
        <v>0</v>
      </c>
      <c r="AF115">
        <f>Inputs!$I$4*ABS(C115-1)*Inputs!$H$4</f>
        <v>0</v>
      </c>
      <c r="AG115">
        <f>Inputs!$I$5*ABS(D115-1)*Inputs!$H$5</f>
        <v>0</v>
      </c>
      <c r="AH115">
        <f>Inputs!$I$6*ABS(E115-1)*Inputs!$H$6</f>
        <v>6.4042485034184693E-2</v>
      </c>
      <c r="AI115">
        <f>Inputs!$I$7*ABS(F115-1)*Inputs!$H$7</f>
        <v>1.49493001411365E-2</v>
      </c>
      <c r="AJ115">
        <f>Inputs!$I$8*ABS(G115-1)*Inputs!$H$8</f>
        <v>5.8391635937893226E-2</v>
      </c>
      <c r="AK115">
        <f>Inputs!$I$9*ABS(H115-1)*Inputs!$H$9</f>
        <v>0</v>
      </c>
      <c r="AL115">
        <f t="shared" si="12"/>
        <v>-0.1674657256399634</v>
      </c>
      <c r="AN115" s="1">
        <f t="shared" si="13"/>
        <v>0.55264302871661508</v>
      </c>
      <c r="AO115">
        <f t="shared" si="17"/>
        <v>1.3811032850278336E-3</v>
      </c>
      <c r="AP115">
        <f t="shared" si="18"/>
        <v>2.5291177067888297E-3</v>
      </c>
      <c r="AQ115" s="26">
        <f t="shared" si="14"/>
        <v>1.0011000998505926</v>
      </c>
      <c r="AR115">
        <f t="shared" si="15"/>
        <v>-4.1851150162526199E-4</v>
      </c>
    </row>
    <row r="116" spans="1:44" x14ac:dyDescent="0.25">
      <c r="A116">
        <v>0</v>
      </c>
      <c r="B116">
        <v>1</v>
      </c>
      <c r="C116">
        <v>1</v>
      </c>
      <c r="D116">
        <v>0</v>
      </c>
      <c r="E116">
        <v>1</v>
      </c>
      <c r="F116">
        <v>0</v>
      </c>
      <c r="G116">
        <v>0</v>
      </c>
      <c r="H116">
        <v>1</v>
      </c>
      <c r="J116">
        <f>(A116*Inputs!$E$2+ABS((A116-1))*(1-Inputs!$E$2))</f>
        <v>0.35</v>
      </c>
      <c r="K116">
        <f>(B116*Inputs!$E$3+ABS((B116-1))*(1-Inputs!$E$3))</f>
        <v>0.65</v>
      </c>
      <c r="L116">
        <f>(C116*Inputs!$E$4+ABS((C116-1))*(1-Inputs!$E$4))</f>
        <v>0.65</v>
      </c>
      <c r="M116">
        <f>(D116*Inputs!$E$5+ABS((D116-1))*(1-Inputs!$E$5))</f>
        <v>0.35</v>
      </c>
      <c r="N116">
        <f>(E116*Inputs!$E$6+ABS((E116-1))*(1-Inputs!$E$6))</f>
        <v>0.6</v>
      </c>
      <c r="O116">
        <f>(F116*Inputs!$E$7+ABS((F116-1))*(1-Inputs!$E$7))</f>
        <v>0.25</v>
      </c>
      <c r="P116">
        <f>(G116*Inputs!$E$8+ABS((G116-1))*(1-Inputs!$E$8))</f>
        <v>0.4</v>
      </c>
      <c r="Q116">
        <f>(H116*Inputs!$E$9+ABS((H116-1))*(1-Inputs!$E$9))</f>
        <v>0.65</v>
      </c>
      <c r="R116">
        <f t="shared" si="11"/>
        <v>2.0184937499999997E-3</v>
      </c>
      <c r="T116">
        <f>Inputs!$I$2*A116*Inputs!$G$2</f>
        <v>0</v>
      </c>
      <c r="U116">
        <f>Inputs!$I$3*B116*Inputs!$G$3</f>
        <v>0.20645773829738062</v>
      </c>
      <c r="V116">
        <f>Inputs!$I$4*C116*Inputs!$G$4</f>
        <v>0.1422264291528948</v>
      </c>
      <c r="W116">
        <f>Inputs!$I$5*D116*Inputs!$G$5</f>
        <v>0</v>
      </c>
      <c r="X116">
        <f>Inputs!$I$6*E116*Inputs!$G$6</f>
        <v>0.37656981200100598</v>
      </c>
      <c r="Y116">
        <f>Inputs!$I$7*F116*Inputs!$G$7</f>
        <v>0</v>
      </c>
      <c r="Z116">
        <f>Inputs!$I$8*G116*Inputs!$G$8</f>
        <v>0</v>
      </c>
      <c r="AA116">
        <f>Inputs!$I$9*H116*Inputs!$G$9</f>
        <v>0.16590779367943137</v>
      </c>
      <c r="AB116">
        <f t="shared" si="16"/>
        <v>0.89116177313071265</v>
      </c>
      <c r="AD116">
        <f>Inputs!$I$2*ABS(A116-1)*Inputs!$H$2</f>
        <v>3.0082304526748989E-2</v>
      </c>
      <c r="AE116">
        <f>Inputs!$I$3*ABS(B116-1)*Inputs!$H$3</f>
        <v>0</v>
      </c>
      <c r="AF116">
        <f>Inputs!$I$4*ABS(C116-1)*Inputs!$H$4</f>
        <v>0</v>
      </c>
      <c r="AG116">
        <f>Inputs!$I$5*ABS(D116-1)*Inputs!$H$5</f>
        <v>3.0032539984442563E-2</v>
      </c>
      <c r="AH116">
        <f>Inputs!$I$6*ABS(E116-1)*Inputs!$H$6</f>
        <v>0</v>
      </c>
      <c r="AI116">
        <f>Inputs!$I$7*ABS(F116-1)*Inputs!$H$7</f>
        <v>1.49493001411365E-2</v>
      </c>
      <c r="AJ116">
        <f>Inputs!$I$8*ABS(G116-1)*Inputs!$H$8</f>
        <v>5.8391635937893226E-2</v>
      </c>
      <c r="AK116">
        <f>Inputs!$I$9*ABS(H116-1)*Inputs!$H$9</f>
        <v>0</v>
      </c>
      <c r="AL116">
        <f t="shared" si="12"/>
        <v>-0.13345578059022128</v>
      </c>
      <c r="AN116" s="1">
        <f t="shared" si="13"/>
        <v>0.75770599254049142</v>
      </c>
      <c r="AO116">
        <f t="shared" si="17"/>
        <v>1.5294248102805284E-3</v>
      </c>
      <c r="AP116">
        <f t="shared" si="18"/>
        <v>1.2948326273962282E-3</v>
      </c>
      <c r="AQ116" s="26">
        <f t="shared" si="14"/>
        <v>1.0011390980225066</v>
      </c>
      <c r="AR116">
        <f t="shared" si="15"/>
        <v>-2.6937965902273296E-4</v>
      </c>
    </row>
    <row r="117" spans="1:44" x14ac:dyDescent="0.25">
      <c r="A117">
        <v>0</v>
      </c>
      <c r="B117">
        <v>1</v>
      </c>
      <c r="C117">
        <v>1</v>
      </c>
      <c r="D117">
        <v>0</v>
      </c>
      <c r="E117">
        <v>0</v>
      </c>
      <c r="F117">
        <v>0</v>
      </c>
      <c r="G117">
        <v>0</v>
      </c>
      <c r="H117">
        <v>1</v>
      </c>
      <c r="J117">
        <f>(A117*Inputs!$E$2+ABS((A117-1))*(1-Inputs!$E$2))</f>
        <v>0.35</v>
      </c>
      <c r="K117">
        <f>(B117*Inputs!$E$3+ABS((B117-1))*(1-Inputs!$E$3))</f>
        <v>0.65</v>
      </c>
      <c r="L117">
        <f>(C117*Inputs!$E$4+ABS((C117-1))*(1-Inputs!$E$4))</f>
        <v>0.65</v>
      </c>
      <c r="M117">
        <f>(D117*Inputs!$E$5+ABS((D117-1))*(1-Inputs!$E$5))</f>
        <v>0.35</v>
      </c>
      <c r="N117">
        <f>(E117*Inputs!$E$6+ABS((E117-1))*(1-Inputs!$E$6))</f>
        <v>0.4</v>
      </c>
      <c r="O117">
        <f>(F117*Inputs!$E$7+ABS((F117-1))*(1-Inputs!$E$7))</f>
        <v>0.25</v>
      </c>
      <c r="P117">
        <f>(G117*Inputs!$E$8+ABS((G117-1))*(1-Inputs!$E$8))</f>
        <v>0.4</v>
      </c>
      <c r="Q117">
        <f>(H117*Inputs!$E$9+ABS((H117-1))*(1-Inputs!$E$9))</f>
        <v>0.65</v>
      </c>
      <c r="R117">
        <f t="shared" si="11"/>
        <v>1.3456625E-3</v>
      </c>
      <c r="T117">
        <f>Inputs!$I$2*A117*Inputs!$G$2</f>
        <v>0</v>
      </c>
      <c r="U117">
        <f>Inputs!$I$3*B117*Inputs!$G$3</f>
        <v>0.20645773829738062</v>
      </c>
      <c r="V117">
        <f>Inputs!$I$4*C117*Inputs!$G$4</f>
        <v>0.1422264291528948</v>
      </c>
      <c r="W117">
        <f>Inputs!$I$5*D117*Inputs!$G$5</f>
        <v>0</v>
      </c>
      <c r="X117">
        <f>Inputs!$I$6*E117*Inputs!$G$6</f>
        <v>0</v>
      </c>
      <c r="Y117">
        <f>Inputs!$I$7*F117*Inputs!$G$7</f>
        <v>0</v>
      </c>
      <c r="Z117">
        <f>Inputs!$I$8*G117*Inputs!$G$8</f>
        <v>0</v>
      </c>
      <c r="AA117">
        <f>Inputs!$I$9*H117*Inputs!$G$9</f>
        <v>0.16590779367943137</v>
      </c>
      <c r="AB117">
        <f t="shared" si="16"/>
        <v>0.51459196112970673</v>
      </c>
      <c r="AD117">
        <f>Inputs!$I$2*ABS(A117-1)*Inputs!$H$2</f>
        <v>3.0082304526748989E-2</v>
      </c>
      <c r="AE117">
        <f>Inputs!$I$3*ABS(B117-1)*Inputs!$H$3</f>
        <v>0</v>
      </c>
      <c r="AF117">
        <f>Inputs!$I$4*ABS(C117-1)*Inputs!$H$4</f>
        <v>0</v>
      </c>
      <c r="AG117">
        <f>Inputs!$I$5*ABS(D117-1)*Inputs!$H$5</f>
        <v>3.0032539984442563E-2</v>
      </c>
      <c r="AH117">
        <f>Inputs!$I$6*ABS(E117-1)*Inputs!$H$6</f>
        <v>6.4042485034184693E-2</v>
      </c>
      <c r="AI117">
        <f>Inputs!$I$7*ABS(F117-1)*Inputs!$H$7</f>
        <v>1.49493001411365E-2</v>
      </c>
      <c r="AJ117">
        <f>Inputs!$I$8*ABS(G117-1)*Inputs!$H$8</f>
        <v>5.8391635937893226E-2</v>
      </c>
      <c r="AK117">
        <f>Inputs!$I$9*ABS(H117-1)*Inputs!$H$9</f>
        <v>0</v>
      </c>
      <c r="AL117">
        <f t="shared" si="12"/>
        <v>-0.19749826562440598</v>
      </c>
      <c r="AN117" s="1">
        <f t="shared" si="13"/>
        <v>0.31709369550530075</v>
      </c>
      <c r="AO117">
        <f t="shared" si="17"/>
        <v>4.2670109502790176E-4</v>
      </c>
      <c r="AP117">
        <f t="shared" si="18"/>
        <v>2.0742319551530298E-3</v>
      </c>
      <c r="AQ117" s="26">
        <f t="shared" si="14"/>
        <v>1.0003707012362113</v>
      </c>
      <c r="AR117">
        <f t="shared" si="15"/>
        <v>-2.657660098658022E-4</v>
      </c>
    </row>
    <row r="118" spans="1:44" x14ac:dyDescent="0.25">
      <c r="A118">
        <v>0</v>
      </c>
      <c r="B118">
        <v>1</v>
      </c>
      <c r="C118">
        <v>0</v>
      </c>
      <c r="D118">
        <v>1</v>
      </c>
      <c r="E118">
        <v>1</v>
      </c>
      <c r="F118">
        <v>0</v>
      </c>
      <c r="G118">
        <v>0</v>
      </c>
      <c r="H118">
        <v>1</v>
      </c>
      <c r="J118">
        <f>(A118*Inputs!$E$2+ABS((A118-1))*(1-Inputs!$E$2))</f>
        <v>0.35</v>
      </c>
      <c r="K118">
        <f>(B118*Inputs!$E$3+ABS((B118-1))*(1-Inputs!$E$3))</f>
        <v>0.65</v>
      </c>
      <c r="L118">
        <f>(C118*Inputs!$E$4+ABS((C118-1))*(1-Inputs!$E$4))</f>
        <v>0.35</v>
      </c>
      <c r="M118">
        <f>(D118*Inputs!$E$5+ABS((D118-1))*(1-Inputs!$E$5))</f>
        <v>0.65</v>
      </c>
      <c r="N118">
        <f>(E118*Inputs!$E$6+ABS((E118-1))*(1-Inputs!$E$6))</f>
        <v>0.6</v>
      </c>
      <c r="O118">
        <f>(F118*Inputs!$E$7+ABS((F118-1))*(1-Inputs!$E$7))</f>
        <v>0.25</v>
      </c>
      <c r="P118">
        <f>(G118*Inputs!$E$8+ABS((G118-1))*(1-Inputs!$E$8))</f>
        <v>0.4</v>
      </c>
      <c r="Q118">
        <f>(H118*Inputs!$E$9+ABS((H118-1))*(1-Inputs!$E$9))</f>
        <v>0.65</v>
      </c>
      <c r="R118">
        <f t="shared" si="11"/>
        <v>2.0184937500000001E-3</v>
      </c>
      <c r="T118">
        <f>Inputs!$I$2*A118*Inputs!$G$2</f>
        <v>0</v>
      </c>
      <c r="U118">
        <f>Inputs!$I$3*B118*Inputs!$G$3</f>
        <v>0.20645773829738062</v>
      </c>
      <c r="V118">
        <f>Inputs!$I$4*C118*Inputs!$G$4</f>
        <v>0</v>
      </c>
      <c r="W118">
        <f>Inputs!$I$5*D118*Inputs!$G$5</f>
        <v>0.20551679322687164</v>
      </c>
      <c r="X118">
        <f>Inputs!$I$6*E118*Inputs!$G$6</f>
        <v>0.37656981200100598</v>
      </c>
      <c r="Y118">
        <f>Inputs!$I$7*F118*Inputs!$G$7</f>
        <v>0</v>
      </c>
      <c r="Z118">
        <f>Inputs!$I$8*G118*Inputs!$G$8</f>
        <v>0</v>
      </c>
      <c r="AA118">
        <f>Inputs!$I$9*H118*Inputs!$G$9</f>
        <v>0.16590779367943137</v>
      </c>
      <c r="AB118">
        <f t="shared" si="16"/>
        <v>0.95445213720468947</v>
      </c>
      <c r="AD118">
        <f>Inputs!$I$2*ABS(A118-1)*Inputs!$H$2</f>
        <v>3.0082304526748989E-2</v>
      </c>
      <c r="AE118">
        <f>Inputs!$I$3*ABS(B118-1)*Inputs!$H$3</f>
        <v>0</v>
      </c>
      <c r="AF118">
        <f>Inputs!$I$4*ABS(C118-1)*Inputs!$H$4</f>
        <v>8.9678988679000853E-3</v>
      </c>
      <c r="AG118">
        <f>Inputs!$I$5*ABS(D118-1)*Inputs!$H$5</f>
        <v>0</v>
      </c>
      <c r="AH118">
        <f>Inputs!$I$6*ABS(E118-1)*Inputs!$H$6</f>
        <v>0</v>
      </c>
      <c r="AI118">
        <f>Inputs!$I$7*ABS(F118-1)*Inputs!$H$7</f>
        <v>1.49493001411365E-2</v>
      </c>
      <c r="AJ118">
        <f>Inputs!$I$8*ABS(G118-1)*Inputs!$H$8</f>
        <v>5.8391635937893226E-2</v>
      </c>
      <c r="AK118">
        <f>Inputs!$I$9*ABS(H118-1)*Inputs!$H$9</f>
        <v>0</v>
      </c>
      <c r="AL118">
        <f t="shared" si="12"/>
        <v>-0.11239113947367879</v>
      </c>
      <c r="AN118" s="1">
        <f t="shared" si="13"/>
        <v>0.84206099773101073</v>
      </c>
      <c r="AO118">
        <f t="shared" si="17"/>
        <v>1.6996948610388096E-3</v>
      </c>
      <c r="AP118">
        <f t="shared" si="18"/>
        <v>1.0364478845762638E-3</v>
      </c>
      <c r="AQ118" s="26">
        <f t="shared" si="14"/>
        <v>1.001233828200391</v>
      </c>
      <c r="AR118">
        <f t="shared" si="15"/>
        <v>-2.2686081258299894E-4</v>
      </c>
    </row>
    <row r="119" spans="1:44" x14ac:dyDescent="0.25">
      <c r="A119">
        <v>0</v>
      </c>
      <c r="B119">
        <v>1</v>
      </c>
      <c r="C119">
        <v>0</v>
      </c>
      <c r="D119">
        <v>1</v>
      </c>
      <c r="E119">
        <v>0</v>
      </c>
      <c r="F119">
        <v>0</v>
      </c>
      <c r="G119">
        <v>0</v>
      </c>
      <c r="H119">
        <v>1</v>
      </c>
      <c r="J119">
        <f>(A119*Inputs!$E$2+ABS((A119-1))*(1-Inputs!$E$2))</f>
        <v>0.35</v>
      </c>
      <c r="K119">
        <f>(B119*Inputs!$E$3+ABS((B119-1))*(1-Inputs!$E$3))</f>
        <v>0.65</v>
      </c>
      <c r="L119">
        <f>(C119*Inputs!$E$4+ABS((C119-1))*(1-Inputs!$E$4))</f>
        <v>0.35</v>
      </c>
      <c r="M119">
        <f>(D119*Inputs!$E$5+ABS((D119-1))*(1-Inputs!$E$5))</f>
        <v>0.65</v>
      </c>
      <c r="N119">
        <f>(E119*Inputs!$E$6+ABS((E119-1))*(1-Inputs!$E$6))</f>
        <v>0.4</v>
      </c>
      <c r="O119">
        <f>(F119*Inputs!$E$7+ABS((F119-1))*(1-Inputs!$E$7))</f>
        <v>0.25</v>
      </c>
      <c r="P119">
        <f>(G119*Inputs!$E$8+ABS((G119-1))*(1-Inputs!$E$8))</f>
        <v>0.4</v>
      </c>
      <c r="Q119">
        <f>(H119*Inputs!$E$9+ABS((H119-1))*(1-Inputs!$E$9))</f>
        <v>0.65</v>
      </c>
      <c r="R119">
        <f t="shared" si="11"/>
        <v>1.3456625E-3</v>
      </c>
      <c r="T119">
        <f>Inputs!$I$2*A119*Inputs!$G$2</f>
        <v>0</v>
      </c>
      <c r="U119">
        <f>Inputs!$I$3*B119*Inputs!$G$3</f>
        <v>0.20645773829738062</v>
      </c>
      <c r="V119">
        <f>Inputs!$I$4*C119*Inputs!$G$4</f>
        <v>0</v>
      </c>
      <c r="W119">
        <f>Inputs!$I$5*D119*Inputs!$G$5</f>
        <v>0.20551679322687164</v>
      </c>
      <c r="X119">
        <f>Inputs!$I$6*E119*Inputs!$G$6</f>
        <v>0</v>
      </c>
      <c r="Y119">
        <f>Inputs!$I$7*F119*Inputs!$G$7</f>
        <v>0</v>
      </c>
      <c r="Z119">
        <f>Inputs!$I$8*G119*Inputs!$G$8</f>
        <v>0</v>
      </c>
      <c r="AA119">
        <f>Inputs!$I$9*H119*Inputs!$G$9</f>
        <v>0.16590779367943137</v>
      </c>
      <c r="AB119">
        <f t="shared" si="16"/>
        <v>0.57788232520368354</v>
      </c>
      <c r="AD119">
        <f>Inputs!$I$2*ABS(A119-1)*Inputs!$H$2</f>
        <v>3.0082304526748989E-2</v>
      </c>
      <c r="AE119">
        <f>Inputs!$I$3*ABS(B119-1)*Inputs!$H$3</f>
        <v>0</v>
      </c>
      <c r="AF119">
        <f>Inputs!$I$4*ABS(C119-1)*Inputs!$H$4</f>
        <v>8.9678988679000853E-3</v>
      </c>
      <c r="AG119">
        <f>Inputs!$I$5*ABS(D119-1)*Inputs!$H$5</f>
        <v>0</v>
      </c>
      <c r="AH119">
        <f>Inputs!$I$6*ABS(E119-1)*Inputs!$H$6</f>
        <v>6.4042485034184693E-2</v>
      </c>
      <c r="AI119">
        <f>Inputs!$I$7*ABS(F119-1)*Inputs!$H$7</f>
        <v>1.49493001411365E-2</v>
      </c>
      <c r="AJ119">
        <f>Inputs!$I$8*ABS(G119-1)*Inputs!$H$8</f>
        <v>5.8391635937893226E-2</v>
      </c>
      <c r="AK119">
        <f>Inputs!$I$9*ABS(H119-1)*Inputs!$H$9</f>
        <v>0</v>
      </c>
      <c r="AL119">
        <f t="shared" si="12"/>
        <v>-0.17643362450786348</v>
      </c>
      <c r="AN119" s="1">
        <f t="shared" si="13"/>
        <v>0.40144870069582006</v>
      </c>
      <c r="AO119">
        <f t="shared" si="17"/>
        <v>5.4021446220008898E-4</v>
      </c>
      <c r="AP119">
        <f t="shared" si="18"/>
        <v>1.8019446890318472E-3</v>
      </c>
      <c r="AQ119" s="26">
        <f t="shared" si="14"/>
        <v>1.0004542729748831</v>
      </c>
      <c r="AR119">
        <f t="shared" si="15"/>
        <v>-2.3742011223931286E-4</v>
      </c>
    </row>
    <row r="120" spans="1:44" x14ac:dyDescent="0.25">
      <c r="A120">
        <v>0</v>
      </c>
      <c r="B120">
        <v>1</v>
      </c>
      <c r="C120">
        <v>0</v>
      </c>
      <c r="D120">
        <v>0</v>
      </c>
      <c r="E120">
        <v>1</v>
      </c>
      <c r="F120">
        <v>0</v>
      </c>
      <c r="G120">
        <v>0</v>
      </c>
      <c r="H120">
        <v>1</v>
      </c>
      <c r="J120">
        <f>(A120*Inputs!$E$2+ABS((A120-1))*(1-Inputs!$E$2))</f>
        <v>0.35</v>
      </c>
      <c r="K120">
        <f>(B120*Inputs!$E$3+ABS((B120-1))*(1-Inputs!$E$3))</f>
        <v>0.65</v>
      </c>
      <c r="L120">
        <f>(C120*Inputs!$E$4+ABS((C120-1))*(1-Inputs!$E$4))</f>
        <v>0.35</v>
      </c>
      <c r="M120">
        <f>(D120*Inputs!$E$5+ABS((D120-1))*(1-Inputs!$E$5))</f>
        <v>0.35</v>
      </c>
      <c r="N120">
        <f>(E120*Inputs!$E$6+ABS((E120-1))*(1-Inputs!$E$6))</f>
        <v>0.6</v>
      </c>
      <c r="O120">
        <f>(F120*Inputs!$E$7+ABS((F120-1))*(1-Inputs!$E$7))</f>
        <v>0.25</v>
      </c>
      <c r="P120">
        <f>(G120*Inputs!$E$8+ABS((G120-1))*(1-Inputs!$E$8))</f>
        <v>0.4</v>
      </c>
      <c r="Q120">
        <f>(H120*Inputs!$E$9+ABS((H120-1))*(1-Inputs!$E$9))</f>
        <v>0.65</v>
      </c>
      <c r="R120">
        <f t="shared" si="11"/>
        <v>1.0868812499999999E-3</v>
      </c>
      <c r="T120">
        <f>Inputs!$I$2*A120*Inputs!$G$2</f>
        <v>0</v>
      </c>
      <c r="U120">
        <f>Inputs!$I$3*B120*Inputs!$G$3</f>
        <v>0.20645773829738062</v>
      </c>
      <c r="V120">
        <f>Inputs!$I$4*C120*Inputs!$G$4</f>
        <v>0</v>
      </c>
      <c r="W120">
        <f>Inputs!$I$5*D120*Inputs!$G$5</f>
        <v>0</v>
      </c>
      <c r="X120">
        <f>Inputs!$I$6*E120*Inputs!$G$6</f>
        <v>0.37656981200100598</v>
      </c>
      <c r="Y120">
        <f>Inputs!$I$7*F120*Inputs!$G$7</f>
        <v>0</v>
      </c>
      <c r="Z120">
        <f>Inputs!$I$8*G120*Inputs!$G$8</f>
        <v>0</v>
      </c>
      <c r="AA120">
        <f>Inputs!$I$9*H120*Inputs!$G$9</f>
        <v>0.16590779367943137</v>
      </c>
      <c r="AB120">
        <f t="shared" si="16"/>
        <v>0.74893534397781791</v>
      </c>
      <c r="AD120">
        <f>Inputs!$I$2*ABS(A120-1)*Inputs!$H$2</f>
        <v>3.0082304526748989E-2</v>
      </c>
      <c r="AE120">
        <f>Inputs!$I$3*ABS(B120-1)*Inputs!$H$3</f>
        <v>0</v>
      </c>
      <c r="AF120">
        <f>Inputs!$I$4*ABS(C120-1)*Inputs!$H$4</f>
        <v>8.9678988679000853E-3</v>
      </c>
      <c r="AG120">
        <f>Inputs!$I$5*ABS(D120-1)*Inputs!$H$5</f>
        <v>3.0032539984442563E-2</v>
      </c>
      <c r="AH120">
        <f>Inputs!$I$6*ABS(E120-1)*Inputs!$H$6</f>
        <v>0</v>
      </c>
      <c r="AI120">
        <f>Inputs!$I$7*ABS(F120-1)*Inputs!$H$7</f>
        <v>1.49493001411365E-2</v>
      </c>
      <c r="AJ120">
        <f>Inputs!$I$8*ABS(G120-1)*Inputs!$H$8</f>
        <v>5.8391635937893226E-2</v>
      </c>
      <c r="AK120">
        <f>Inputs!$I$9*ABS(H120-1)*Inputs!$H$9</f>
        <v>0</v>
      </c>
      <c r="AL120">
        <f t="shared" si="12"/>
        <v>-0.14242367945812137</v>
      </c>
      <c r="AN120" s="1">
        <f t="shared" si="13"/>
        <v>0.60651166451969651</v>
      </c>
      <c r="AO120">
        <f t="shared" si="17"/>
        <v>6.5920615607274833E-4</v>
      </c>
      <c r="AP120">
        <f t="shared" si="18"/>
        <v>9.8529659964500149E-4</v>
      </c>
      <c r="AQ120" s="26">
        <f t="shared" si="14"/>
        <v>1.0005153852994786</v>
      </c>
      <c r="AR120">
        <f t="shared" si="15"/>
        <v>-1.5479762675904226E-4</v>
      </c>
    </row>
    <row r="121" spans="1:44" x14ac:dyDescent="0.25">
      <c r="A121">
        <v>0</v>
      </c>
      <c r="B121">
        <v>1</v>
      </c>
      <c r="C121">
        <v>0</v>
      </c>
      <c r="D121">
        <v>0</v>
      </c>
      <c r="E121">
        <v>0</v>
      </c>
      <c r="F121">
        <v>0</v>
      </c>
      <c r="G121">
        <v>0</v>
      </c>
      <c r="H121">
        <v>1</v>
      </c>
      <c r="J121">
        <f>(A121*Inputs!$E$2+ABS((A121-1))*(1-Inputs!$E$2))</f>
        <v>0.35</v>
      </c>
      <c r="K121">
        <f>(B121*Inputs!$E$3+ABS((B121-1))*(1-Inputs!$E$3))</f>
        <v>0.65</v>
      </c>
      <c r="L121">
        <f>(C121*Inputs!$E$4+ABS((C121-1))*(1-Inputs!$E$4))</f>
        <v>0.35</v>
      </c>
      <c r="M121">
        <f>(D121*Inputs!$E$5+ABS((D121-1))*(1-Inputs!$E$5))</f>
        <v>0.35</v>
      </c>
      <c r="N121">
        <f>(E121*Inputs!$E$6+ABS((E121-1))*(1-Inputs!$E$6))</f>
        <v>0.4</v>
      </c>
      <c r="O121">
        <f>(F121*Inputs!$E$7+ABS((F121-1))*(1-Inputs!$E$7))</f>
        <v>0.25</v>
      </c>
      <c r="P121">
        <f>(G121*Inputs!$E$8+ABS((G121-1))*(1-Inputs!$E$8))</f>
        <v>0.4</v>
      </c>
      <c r="Q121">
        <f>(H121*Inputs!$E$9+ABS((H121-1))*(1-Inputs!$E$9))</f>
        <v>0.65</v>
      </c>
      <c r="R121">
        <f t="shared" si="11"/>
        <v>7.2458749999999991E-4</v>
      </c>
      <c r="T121">
        <f>Inputs!$I$2*A121*Inputs!$G$2</f>
        <v>0</v>
      </c>
      <c r="U121">
        <f>Inputs!$I$3*B121*Inputs!$G$3</f>
        <v>0.20645773829738062</v>
      </c>
      <c r="V121">
        <f>Inputs!$I$4*C121*Inputs!$G$4</f>
        <v>0</v>
      </c>
      <c r="W121">
        <f>Inputs!$I$5*D121*Inputs!$G$5</f>
        <v>0</v>
      </c>
      <c r="X121">
        <f>Inputs!$I$6*E121*Inputs!$G$6</f>
        <v>0</v>
      </c>
      <c r="Y121">
        <f>Inputs!$I$7*F121*Inputs!$G$7</f>
        <v>0</v>
      </c>
      <c r="Z121">
        <f>Inputs!$I$8*G121*Inputs!$G$8</f>
        <v>0</v>
      </c>
      <c r="AA121">
        <f>Inputs!$I$9*H121*Inputs!$G$9</f>
        <v>0.16590779367943137</v>
      </c>
      <c r="AB121">
        <f t="shared" si="16"/>
        <v>0.37236553197681199</v>
      </c>
      <c r="AD121">
        <f>Inputs!$I$2*ABS(A121-1)*Inputs!$H$2</f>
        <v>3.0082304526748989E-2</v>
      </c>
      <c r="AE121">
        <f>Inputs!$I$3*ABS(B121-1)*Inputs!$H$3</f>
        <v>0</v>
      </c>
      <c r="AF121">
        <f>Inputs!$I$4*ABS(C121-1)*Inputs!$H$4</f>
        <v>8.9678988679000853E-3</v>
      </c>
      <c r="AG121">
        <f>Inputs!$I$5*ABS(D121-1)*Inputs!$H$5</f>
        <v>3.0032539984442563E-2</v>
      </c>
      <c r="AH121">
        <f>Inputs!$I$6*ABS(E121-1)*Inputs!$H$6</f>
        <v>6.4042485034184693E-2</v>
      </c>
      <c r="AI121">
        <f>Inputs!$I$7*ABS(F121-1)*Inputs!$H$7</f>
        <v>1.49493001411365E-2</v>
      </c>
      <c r="AJ121">
        <f>Inputs!$I$8*ABS(G121-1)*Inputs!$H$8</f>
        <v>5.8391635937893226E-2</v>
      </c>
      <c r="AK121">
        <f>Inputs!$I$9*ABS(H121-1)*Inputs!$H$9</f>
        <v>0</v>
      </c>
      <c r="AL121">
        <f t="shared" si="12"/>
        <v>-0.20646616449230606</v>
      </c>
      <c r="AN121" s="1">
        <f t="shared" si="13"/>
        <v>0.16589936748450593</v>
      </c>
      <c r="AO121">
        <f t="shared" si="17"/>
        <v>1.2020860793717942E-4</v>
      </c>
      <c r="AP121">
        <f t="shared" si="18"/>
        <v>1.4054880733898397E-3</v>
      </c>
      <c r="AQ121" s="26">
        <f t="shared" si="14"/>
        <v>1.0001112251336577</v>
      </c>
      <c r="AR121">
        <f t="shared" si="15"/>
        <v>-1.4960280196406881E-4</v>
      </c>
    </row>
    <row r="122" spans="1:44" x14ac:dyDescent="0.25">
      <c r="A122">
        <v>0</v>
      </c>
      <c r="B122">
        <v>0</v>
      </c>
      <c r="C122">
        <v>1</v>
      </c>
      <c r="D122">
        <v>1</v>
      </c>
      <c r="E122">
        <v>1</v>
      </c>
      <c r="F122">
        <v>0</v>
      </c>
      <c r="G122">
        <v>0</v>
      </c>
      <c r="H122">
        <v>1</v>
      </c>
      <c r="J122">
        <f>(A122*Inputs!$E$2+ABS((A122-1))*(1-Inputs!$E$2))</f>
        <v>0.35</v>
      </c>
      <c r="K122">
        <f>(B122*Inputs!$E$3+ABS((B122-1))*(1-Inputs!$E$3))</f>
        <v>0.35</v>
      </c>
      <c r="L122">
        <f>(C122*Inputs!$E$4+ABS((C122-1))*(1-Inputs!$E$4))</f>
        <v>0.65</v>
      </c>
      <c r="M122">
        <f>(D122*Inputs!$E$5+ABS((D122-1))*(1-Inputs!$E$5))</f>
        <v>0.65</v>
      </c>
      <c r="N122">
        <f>(E122*Inputs!$E$6+ABS((E122-1))*(1-Inputs!$E$6))</f>
        <v>0.6</v>
      </c>
      <c r="O122">
        <f>(F122*Inputs!$E$7+ABS((F122-1))*(1-Inputs!$E$7))</f>
        <v>0.25</v>
      </c>
      <c r="P122">
        <f>(G122*Inputs!$E$8+ABS((G122-1))*(1-Inputs!$E$8))</f>
        <v>0.4</v>
      </c>
      <c r="Q122">
        <f>(H122*Inputs!$E$9+ABS((H122-1))*(1-Inputs!$E$9))</f>
        <v>0.65</v>
      </c>
      <c r="R122">
        <f t="shared" si="11"/>
        <v>2.0184937500000001E-3</v>
      </c>
      <c r="T122">
        <f>Inputs!$I$2*A122*Inputs!$G$2</f>
        <v>0</v>
      </c>
      <c r="U122">
        <f>Inputs!$I$3*B122*Inputs!$G$3</f>
        <v>0</v>
      </c>
      <c r="V122">
        <f>Inputs!$I$4*C122*Inputs!$G$4</f>
        <v>0.1422264291528948</v>
      </c>
      <c r="W122">
        <f>Inputs!$I$5*D122*Inputs!$G$5</f>
        <v>0.20551679322687164</v>
      </c>
      <c r="X122">
        <f>Inputs!$I$6*E122*Inputs!$G$6</f>
        <v>0.37656981200100598</v>
      </c>
      <c r="Y122">
        <f>Inputs!$I$7*F122*Inputs!$G$7</f>
        <v>0</v>
      </c>
      <c r="Z122">
        <f>Inputs!$I$8*G122*Inputs!$G$8</f>
        <v>0</v>
      </c>
      <c r="AA122">
        <f>Inputs!$I$9*H122*Inputs!$G$9</f>
        <v>0.16590779367943137</v>
      </c>
      <c r="AB122">
        <f t="shared" si="16"/>
        <v>0.89022082806020375</v>
      </c>
      <c r="AD122">
        <f>Inputs!$I$2*ABS(A122-1)*Inputs!$H$2</f>
        <v>3.0082304526748989E-2</v>
      </c>
      <c r="AE122">
        <f>Inputs!$I$3*ABS(B122-1)*Inputs!$H$3</f>
        <v>1.1405796839520112E-2</v>
      </c>
      <c r="AF122">
        <f>Inputs!$I$4*ABS(C122-1)*Inputs!$H$4</f>
        <v>0</v>
      </c>
      <c r="AG122">
        <f>Inputs!$I$5*ABS(D122-1)*Inputs!$H$5</f>
        <v>0</v>
      </c>
      <c r="AH122">
        <f>Inputs!$I$6*ABS(E122-1)*Inputs!$H$6</f>
        <v>0</v>
      </c>
      <c r="AI122">
        <f>Inputs!$I$7*ABS(F122-1)*Inputs!$H$7</f>
        <v>1.49493001411365E-2</v>
      </c>
      <c r="AJ122">
        <f>Inputs!$I$8*ABS(G122-1)*Inputs!$H$8</f>
        <v>5.8391635937893226E-2</v>
      </c>
      <c r="AK122">
        <f>Inputs!$I$9*ABS(H122-1)*Inputs!$H$9</f>
        <v>0</v>
      </c>
      <c r="AL122">
        <f t="shared" si="12"/>
        <v>-0.11482903744529882</v>
      </c>
      <c r="AN122" s="1">
        <f t="shared" si="13"/>
        <v>0.77539179061490493</v>
      </c>
      <c r="AO122">
        <f t="shared" si="17"/>
        <v>1.5651234831574943E-3</v>
      </c>
      <c r="AP122">
        <f t="shared" si="18"/>
        <v>1.2382799015026504E-3</v>
      </c>
      <c r="AQ122" s="26">
        <f t="shared" si="14"/>
        <v>1.0011593295581147</v>
      </c>
      <c r="AR122">
        <f t="shared" si="15"/>
        <v>-2.3178169440185166E-4</v>
      </c>
    </row>
    <row r="123" spans="1:44" x14ac:dyDescent="0.25">
      <c r="A123">
        <v>0</v>
      </c>
      <c r="B123">
        <v>0</v>
      </c>
      <c r="C123">
        <v>1</v>
      </c>
      <c r="D123">
        <v>1</v>
      </c>
      <c r="E123">
        <v>0</v>
      </c>
      <c r="F123">
        <v>0</v>
      </c>
      <c r="G123">
        <v>0</v>
      </c>
      <c r="H123">
        <v>1</v>
      </c>
      <c r="J123">
        <f>(A123*Inputs!$E$2+ABS((A123-1))*(1-Inputs!$E$2))</f>
        <v>0.35</v>
      </c>
      <c r="K123">
        <f>(B123*Inputs!$E$3+ABS((B123-1))*(1-Inputs!$E$3))</f>
        <v>0.35</v>
      </c>
      <c r="L123">
        <f>(C123*Inputs!$E$4+ABS((C123-1))*(1-Inputs!$E$4))</f>
        <v>0.65</v>
      </c>
      <c r="M123">
        <f>(D123*Inputs!$E$5+ABS((D123-1))*(1-Inputs!$E$5))</f>
        <v>0.65</v>
      </c>
      <c r="N123">
        <f>(E123*Inputs!$E$6+ABS((E123-1))*(1-Inputs!$E$6))</f>
        <v>0.4</v>
      </c>
      <c r="O123">
        <f>(F123*Inputs!$E$7+ABS((F123-1))*(1-Inputs!$E$7))</f>
        <v>0.25</v>
      </c>
      <c r="P123">
        <f>(G123*Inputs!$E$8+ABS((G123-1))*(1-Inputs!$E$8))</f>
        <v>0.4</v>
      </c>
      <c r="Q123">
        <f>(H123*Inputs!$E$9+ABS((H123-1))*(1-Inputs!$E$9))</f>
        <v>0.65</v>
      </c>
      <c r="R123">
        <f t="shared" si="11"/>
        <v>1.3456625E-3</v>
      </c>
      <c r="T123">
        <f>Inputs!$I$2*A123*Inputs!$G$2</f>
        <v>0</v>
      </c>
      <c r="U123">
        <f>Inputs!$I$3*B123*Inputs!$G$3</f>
        <v>0</v>
      </c>
      <c r="V123">
        <f>Inputs!$I$4*C123*Inputs!$G$4</f>
        <v>0.1422264291528948</v>
      </c>
      <c r="W123">
        <f>Inputs!$I$5*D123*Inputs!$G$5</f>
        <v>0.20551679322687164</v>
      </c>
      <c r="X123">
        <f>Inputs!$I$6*E123*Inputs!$G$6</f>
        <v>0</v>
      </c>
      <c r="Y123">
        <f>Inputs!$I$7*F123*Inputs!$G$7</f>
        <v>0</v>
      </c>
      <c r="Z123">
        <f>Inputs!$I$8*G123*Inputs!$G$8</f>
        <v>0</v>
      </c>
      <c r="AA123">
        <f>Inputs!$I$9*H123*Inputs!$G$9</f>
        <v>0.16590779367943137</v>
      </c>
      <c r="AB123">
        <f t="shared" si="16"/>
        <v>0.51365101605919783</v>
      </c>
      <c r="AD123">
        <f>Inputs!$I$2*ABS(A123-1)*Inputs!$H$2</f>
        <v>3.0082304526748989E-2</v>
      </c>
      <c r="AE123">
        <f>Inputs!$I$3*ABS(B123-1)*Inputs!$H$3</f>
        <v>1.1405796839520112E-2</v>
      </c>
      <c r="AF123">
        <f>Inputs!$I$4*ABS(C123-1)*Inputs!$H$4</f>
        <v>0</v>
      </c>
      <c r="AG123">
        <f>Inputs!$I$5*ABS(D123-1)*Inputs!$H$5</f>
        <v>0</v>
      </c>
      <c r="AH123">
        <f>Inputs!$I$6*ABS(E123-1)*Inputs!$H$6</f>
        <v>6.4042485034184693E-2</v>
      </c>
      <c r="AI123">
        <f>Inputs!$I$7*ABS(F123-1)*Inputs!$H$7</f>
        <v>1.49493001411365E-2</v>
      </c>
      <c r="AJ123">
        <f>Inputs!$I$8*ABS(G123-1)*Inputs!$H$8</f>
        <v>5.8391635937893226E-2</v>
      </c>
      <c r="AK123">
        <f>Inputs!$I$9*ABS(H123-1)*Inputs!$H$9</f>
        <v>0</v>
      </c>
      <c r="AL123">
        <f t="shared" si="12"/>
        <v>-0.17887152247948351</v>
      </c>
      <c r="AN123" s="1">
        <f t="shared" si="13"/>
        <v>0.33477949357971432</v>
      </c>
      <c r="AO123">
        <f t="shared" si="17"/>
        <v>4.5050021027921234E-4</v>
      </c>
      <c r="AP123">
        <f t="shared" si="18"/>
        <v>2.0155577722140738E-3</v>
      </c>
      <c r="AQ123" s="26">
        <f t="shared" si="14"/>
        <v>1.0003886572262386</v>
      </c>
      <c r="AR123">
        <f t="shared" si="15"/>
        <v>-2.4070070011854798E-4</v>
      </c>
    </row>
    <row r="124" spans="1:44" x14ac:dyDescent="0.25">
      <c r="A124">
        <v>0</v>
      </c>
      <c r="B124">
        <v>0</v>
      </c>
      <c r="C124">
        <v>1</v>
      </c>
      <c r="D124">
        <v>0</v>
      </c>
      <c r="E124">
        <v>1</v>
      </c>
      <c r="F124">
        <v>0</v>
      </c>
      <c r="G124">
        <v>0</v>
      </c>
      <c r="H124">
        <v>1</v>
      </c>
      <c r="J124">
        <f>(A124*Inputs!$E$2+ABS((A124-1))*(1-Inputs!$E$2))</f>
        <v>0.35</v>
      </c>
      <c r="K124">
        <f>(B124*Inputs!$E$3+ABS((B124-1))*(1-Inputs!$E$3))</f>
        <v>0.35</v>
      </c>
      <c r="L124">
        <f>(C124*Inputs!$E$4+ABS((C124-1))*(1-Inputs!$E$4))</f>
        <v>0.65</v>
      </c>
      <c r="M124">
        <f>(D124*Inputs!$E$5+ABS((D124-1))*(1-Inputs!$E$5))</f>
        <v>0.35</v>
      </c>
      <c r="N124">
        <f>(E124*Inputs!$E$6+ABS((E124-1))*(1-Inputs!$E$6))</f>
        <v>0.6</v>
      </c>
      <c r="O124">
        <f>(F124*Inputs!$E$7+ABS((F124-1))*(1-Inputs!$E$7))</f>
        <v>0.25</v>
      </c>
      <c r="P124">
        <f>(G124*Inputs!$E$8+ABS((G124-1))*(1-Inputs!$E$8))</f>
        <v>0.4</v>
      </c>
      <c r="Q124">
        <f>(H124*Inputs!$E$9+ABS((H124-1))*(1-Inputs!$E$9))</f>
        <v>0.65</v>
      </c>
      <c r="R124">
        <f t="shared" si="11"/>
        <v>1.0868812499999999E-3</v>
      </c>
      <c r="T124">
        <f>Inputs!$I$2*A124*Inputs!$G$2</f>
        <v>0</v>
      </c>
      <c r="U124">
        <f>Inputs!$I$3*B124*Inputs!$G$3</f>
        <v>0</v>
      </c>
      <c r="V124">
        <f>Inputs!$I$4*C124*Inputs!$G$4</f>
        <v>0.1422264291528948</v>
      </c>
      <c r="W124">
        <f>Inputs!$I$5*D124*Inputs!$G$5</f>
        <v>0</v>
      </c>
      <c r="X124">
        <f>Inputs!$I$6*E124*Inputs!$G$6</f>
        <v>0.37656981200100598</v>
      </c>
      <c r="Y124">
        <f>Inputs!$I$7*F124*Inputs!$G$7</f>
        <v>0</v>
      </c>
      <c r="Z124">
        <f>Inputs!$I$8*G124*Inputs!$G$8</f>
        <v>0</v>
      </c>
      <c r="AA124">
        <f>Inputs!$I$9*H124*Inputs!$G$9</f>
        <v>0.16590779367943137</v>
      </c>
      <c r="AB124">
        <f t="shared" si="16"/>
        <v>0.6847040348333322</v>
      </c>
      <c r="AD124">
        <f>Inputs!$I$2*ABS(A124-1)*Inputs!$H$2</f>
        <v>3.0082304526748989E-2</v>
      </c>
      <c r="AE124">
        <f>Inputs!$I$3*ABS(B124-1)*Inputs!$H$3</f>
        <v>1.1405796839520112E-2</v>
      </c>
      <c r="AF124">
        <f>Inputs!$I$4*ABS(C124-1)*Inputs!$H$4</f>
        <v>0</v>
      </c>
      <c r="AG124">
        <f>Inputs!$I$5*ABS(D124-1)*Inputs!$H$5</f>
        <v>3.0032539984442563E-2</v>
      </c>
      <c r="AH124">
        <f>Inputs!$I$6*ABS(E124-1)*Inputs!$H$6</f>
        <v>0</v>
      </c>
      <c r="AI124">
        <f>Inputs!$I$7*ABS(F124-1)*Inputs!$H$7</f>
        <v>1.49493001411365E-2</v>
      </c>
      <c r="AJ124">
        <f>Inputs!$I$8*ABS(G124-1)*Inputs!$H$8</f>
        <v>5.8391635937893226E-2</v>
      </c>
      <c r="AK124">
        <f>Inputs!$I$9*ABS(H124-1)*Inputs!$H$9</f>
        <v>0</v>
      </c>
      <c r="AL124">
        <f t="shared" si="12"/>
        <v>-0.1448615774297414</v>
      </c>
      <c r="AN124" s="1">
        <f t="shared" si="13"/>
        <v>0.53984245740359083</v>
      </c>
      <c r="AO124">
        <f t="shared" si="17"/>
        <v>5.8674464490588655E-4</v>
      </c>
      <c r="AP124">
        <f t="shared" si="18"/>
        <v>1.1281118992676558E-3</v>
      </c>
      <c r="AQ124" s="26">
        <f t="shared" si="14"/>
        <v>1.0004692951029388</v>
      </c>
      <c r="AR124">
        <f t="shared" si="15"/>
        <v>-1.5744733235380912E-4</v>
      </c>
    </row>
    <row r="125" spans="1:44" x14ac:dyDescent="0.25">
      <c r="A125">
        <v>0</v>
      </c>
      <c r="B125">
        <v>0</v>
      </c>
      <c r="C125">
        <v>1</v>
      </c>
      <c r="D125">
        <v>0</v>
      </c>
      <c r="E125">
        <v>0</v>
      </c>
      <c r="F125">
        <v>0</v>
      </c>
      <c r="G125">
        <v>0</v>
      </c>
      <c r="H125">
        <v>1</v>
      </c>
      <c r="J125">
        <f>(A125*Inputs!$E$2+ABS((A125-1))*(1-Inputs!$E$2))</f>
        <v>0.35</v>
      </c>
      <c r="K125">
        <f>(B125*Inputs!$E$3+ABS((B125-1))*(1-Inputs!$E$3))</f>
        <v>0.35</v>
      </c>
      <c r="L125">
        <f>(C125*Inputs!$E$4+ABS((C125-1))*(1-Inputs!$E$4))</f>
        <v>0.65</v>
      </c>
      <c r="M125">
        <f>(D125*Inputs!$E$5+ABS((D125-1))*(1-Inputs!$E$5))</f>
        <v>0.35</v>
      </c>
      <c r="N125">
        <f>(E125*Inputs!$E$6+ABS((E125-1))*(1-Inputs!$E$6))</f>
        <v>0.4</v>
      </c>
      <c r="O125">
        <f>(F125*Inputs!$E$7+ABS((F125-1))*(1-Inputs!$E$7))</f>
        <v>0.25</v>
      </c>
      <c r="P125">
        <f>(G125*Inputs!$E$8+ABS((G125-1))*(1-Inputs!$E$8))</f>
        <v>0.4</v>
      </c>
      <c r="Q125">
        <f>(H125*Inputs!$E$9+ABS((H125-1))*(1-Inputs!$E$9))</f>
        <v>0.65</v>
      </c>
      <c r="R125">
        <f t="shared" si="11"/>
        <v>7.2458749999999991E-4</v>
      </c>
      <c r="T125">
        <f>Inputs!$I$2*A125*Inputs!$G$2</f>
        <v>0</v>
      </c>
      <c r="U125">
        <f>Inputs!$I$3*B125*Inputs!$G$3</f>
        <v>0</v>
      </c>
      <c r="V125">
        <f>Inputs!$I$4*C125*Inputs!$G$4</f>
        <v>0.1422264291528948</v>
      </c>
      <c r="W125">
        <f>Inputs!$I$5*D125*Inputs!$G$5</f>
        <v>0</v>
      </c>
      <c r="X125">
        <f>Inputs!$I$6*E125*Inputs!$G$6</f>
        <v>0</v>
      </c>
      <c r="Y125">
        <f>Inputs!$I$7*F125*Inputs!$G$7</f>
        <v>0</v>
      </c>
      <c r="Z125">
        <f>Inputs!$I$8*G125*Inputs!$G$8</f>
        <v>0</v>
      </c>
      <c r="AA125">
        <f>Inputs!$I$9*H125*Inputs!$G$9</f>
        <v>0.16590779367943137</v>
      </c>
      <c r="AB125">
        <f t="shared" si="16"/>
        <v>0.30813422283232617</v>
      </c>
      <c r="AD125">
        <f>Inputs!$I$2*ABS(A125-1)*Inputs!$H$2</f>
        <v>3.0082304526748989E-2</v>
      </c>
      <c r="AE125">
        <f>Inputs!$I$3*ABS(B125-1)*Inputs!$H$3</f>
        <v>1.1405796839520112E-2</v>
      </c>
      <c r="AF125">
        <f>Inputs!$I$4*ABS(C125-1)*Inputs!$H$4</f>
        <v>0</v>
      </c>
      <c r="AG125">
        <f>Inputs!$I$5*ABS(D125-1)*Inputs!$H$5</f>
        <v>3.0032539984442563E-2</v>
      </c>
      <c r="AH125">
        <f>Inputs!$I$6*ABS(E125-1)*Inputs!$H$6</f>
        <v>6.4042485034184693E-2</v>
      </c>
      <c r="AI125">
        <f>Inputs!$I$7*ABS(F125-1)*Inputs!$H$7</f>
        <v>1.49493001411365E-2</v>
      </c>
      <c r="AJ125">
        <f>Inputs!$I$8*ABS(G125-1)*Inputs!$H$8</f>
        <v>5.8391635937893226E-2</v>
      </c>
      <c r="AK125">
        <f>Inputs!$I$9*ABS(H125-1)*Inputs!$H$9</f>
        <v>0</v>
      </c>
      <c r="AL125">
        <f t="shared" si="12"/>
        <v>-0.20890406246392609</v>
      </c>
      <c r="AN125" s="1">
        <f t="shared" si="13"/>
        <v>9.9230160368400072E-2</v>
      </c>
      <c r="AO125">
        <f t="shared" si="17"/>
        <v>7.1900933825938085E-5</v>
      </c>
      <c r="AP125">
        <f t="shared" si="18"/>
        <v>1.543268183647439E-3</v>
      </c>
      <c r="AQ125" s="26">
        <f t="shared" si="14"/>
        <v>1.0000685556315934</v>
      </c>
      <c r="AR125">
        <f t="shared" si="15"/>
        <v>-1.5136927236058002E-4</v>
      </c>
    </row>
    <row r="126" spans="1:44" x14ac:dyDescent="0.25">
      <c r="A126">
        <v>0</v>
      </c>
      <c r="B126">
        <v>0</v>
      </c>
      <c r="C126">
        <v>0</v>
      </c>
      <c r="D126">
        <v>1</v>
      </c>
      <c r="E126">
        <v>1</v>
      </c>
      <c r="F126">
        <v>0</v>
      </c>
      <c r="G126">
        <v>0</v>
      </c>
      <c r="H126">
        <v>1</v>
      </c>
      <c r="J126">
        <f>(A126*Inputs!$E$2+ABS((A126-1))*(1-Inputs!$E$2))</f>
        <v>0.35</v>
      </c>
      <c r="K126">
        <f>(B126*Inputs!$E$3+ABS((B126-1))*(1-Inputs!$E$3))</f>
        <v>0.35</v>
      </c>
      <c r="L126">
        <f>(C126*Inputs!$E$4+ABS((C126-1))*(1-Inputs!$E$4))</f>
        <v>0.35</v>
      </c>
      <c r="M126">
        <f>(D126*Inputs!$E$5+ABS((D126-1))*(1-Inputs!$E$5))</f>
        <v>0.65</v>
      </c>
      <c r="N126">
        <f>(E126*Inputs!$E$6+ABS((E126-1))*(1-Inputs!$E$6))</f>
        <v>0.6</v>
      </c>
      <c r="O126">
        <f>(F126*Inputs!$E$7+ABS((F126-1))*(1-Inputs!$E$7))</f>
        <v>0.25</v>
      </c>
      <c r="P126">
        <f>(G126*Inputs!$E$8+ABS((G126-1))*(1-Inputs!$E$8))</f>
        <v>0.4</v>
      </c>
      <c r="Q126">
        <f>(H126*Inputs!$E$9+ABS((H126-1))*(1-Inputs!$E$9))</f>
        <v>0.65</v>
      </c>
      <c r="R126">
        <f t="shared" si="11"/>
        <v>1.0868812499999999E-3</v>
      </c>
      <c r="T126">
        <f>Inputs!$I$2*A126*Inputs!$G$2</f>
        <v>0</v>
      </c>
      <c r="U126">
        <f>Inputs!$I$3*B126*Inputs!$G$3</f>
        <v>0</v>
      </c>
      <c r="V126">
        <f>Inputs!$I$4*C126*Inputs!$G$4</f>
        <v>0</v>
      </c>
      <c r="W126">
        <f>Inputs!$I$5*D126*Inputs!$G$5</f>
        <v>0.20551679322687164</v>
      </c>
      <c r="X126">
        <f>Inputs!$I$6*E126*Inputs!$G$6</f>
        <v>0.37656981200100598</v>
      </c>
      <c r="Y126">
        <f>Inputs!$I$7*F126*Inputs!$G$7</f>
        <v>0</v>
      </c>
      <c r="Z126">
        <f>Inputs!$I$8*G126*Inputs!$G$8</f>
        <v>0</v>
      </c>
      <c r="AA126">
        <f>Inputs!$I$9*H126*Inputs!$G$9</f>
        <v>0.16590779367943137</v>
      </c>
      <c r="AB126">
        <f t="shared" si="16"/>
        <v>0.74799439890730901</v>
      </c>
      <c r="AD126">
        <f>Inputs!$I$2*ABS(A126-1)*Inputs!$H$2</f>
        <v>3.0082304526748989E-2</v>
      </c>
      <c r="AE126">
        <f>Inputs!$I$3*ABS(B126-1)*Inputs!$H$3</f>
        <v>1.1405796839520112E-2</v>
      </c>
      <c r="AF126">
        <f>Inputs!$I$4*ABS(C126-1)*Inputs!$H$4</f>
        <v>8.9678988679000853E-3</v>
      </c>
      <c r="AG126">
        <f>Inputs!$I$5*ABS(D126-1)*Inputs!$H$5</f>
        <v>0</v>
      </c>
      <c r="AH126">
        <f>Inputs!$I$6*ABS(E126-1)*Inputs!$H$6</f>
        <v>0</v>
      </c>
      <c r="AI126">
        <f>Inputs!$I$7*ABS(F126-1)*Inputs!$H$7</f>
        <v>1.49493001411365E-2</v>
      </c>
      <c r="AJ126">
        <f>Inputs!$I$8*ABS(G126-1)*Inputs!$H$8</f>
        <v>5.8391635937893226E-2</v>
      </c>
      <c r="AK126">
        <f>Inputs!$I$9*ABS(H126-1)*Inputs!$H$9</f>
        <v>0</v>
      </c>
      <c r="AL126">
        <f t="shared" si="12"/>
        <v>-0.12379693631319891</v>
      </c>
      <c r="AN126" s="1">
        <f t="shared" si="13"/>
        <v>0.62419746259411013</v>
      </c>
      <c r="AO126">
        <f t="shared" si="17"/>
        <v>6.7842851839111456E-4</v>
      </c>
      <c r="AP126">
        <f t="shared" si="18"/>
        <v>9.4903250754875621E-4</v>
      </c>
      <c r="AQ126" s="26">
        <f t="shared" si="14"/>
        <v>1.0005272914012266</v>
      </c>
      <c r="AR126">
        <f t="shared" si="15"/>
        <v>-1.3455256888626001E-4</v>
      </c>
    </row>
    <row r="127" spans="1:44" x14ac:dyDescent="0.25">
      <c r="A127">
        <v>0</v>
      </c>
      <c r="B127">
        <v>0</v>
      </c>
      <c r="C127">
        <v>0</v>
      </c>
      <c r="D127">
        <v>1</v>
      </c>
      <c r="E127">
        <v>0</v>
      </c>
      <c r="F127">
        <v>0</v>
      </c>
      <c r="G127">
        <v>0</v>
      </c>
      <c r="H127">
        <v>1</v>
      </c>
      <c r="J127">
        <f>(A127*Inputs!$E$2+ABS((A127-1))*(1-Inputs!$E$2))</f>
        <v>0.35</v>
      </c>
      <c r="K127">
        <f>(B127*Inputs!$E$3+ABS((B127-1))*(1-Inputs!$E$3))</f>
        <v>0.35</v>
      </c>
      <c r="L127">
        <f>(C127*Inputs!$E$4+ABS((C127-1))*(1-Inputs!$E$4))</f>
        <v>0.35</v>
      </c>
      <c r="M127">
        <f>(D127*Inputs!$E$5+ABS((D127-1))*(1-Inputs!$E$5))</f>
        <v>0.65</v>
      </c>
      <c r="N127">
        <f>(E127*Inputs!$E$6+ABS((E127-1))*(1-Inputs!$E$6))</f>
        <v>0.4</v>
      </c>
      <c r="O127">
        <f>(F127*Inputs!$E$7+ABS((F127-1))*(1-Inputs!$E$7))</f>
        <v>0.25</v>
      </c>
      <c r="P127">
        <f>(G127*Inputs!$E$8+ABS((G127-1))*(1-Inputs!$E$8))</f>
        <v>0.4</v>
      </c>
      <c r="Q127">
        <f>(H127*Inputs!$E$9+ABS((H127-1))*(1-Inputs!$E$9))</f>
        <v>0.65</v>
      </c>
      <c r="R127">
        <f t="shared" si="11"/>
        <v>7.2458749999999991E-4</v>
      </c>
      <c r="T127">
        <f>Inputs!$I$2*A127*Inputs!$G$2</f>
        <v>0</v>
      </c>
      <c r="U127">
        <f>Inputs!$I$3*B127*Inputs!$G$3</f>
        <v>0</v>
      </c>
      <c r="V127">
        <f>Inputs!$I$4*C127*Inputs!$G$4</f>
        <v>0</v>
      </c>
      <c r="W127">
        <f>Inputs!$I$5*D127*Inputs!$G$5</f>
        <v>0.20551679322687164</v>
      </c>
      <c r="X127">
        <f>Inputs!$I$6*E127*Inputs!$G$6</f>
        <v>0</v>
      </c>
      <c r="Y127">
        <f>Inputs!$I$7*F127*Inputs!$G$7</f>
        <v>0</v>
      </c>
      <c r="Z127">
        <f>Inputs!$I$8*G127*Inputs!$G$8</f>
        <v>0</v>
      </c>
      <c r="AA127">
        <f>Inputs!$I$9*H127*Inputs!$G$9</f>
        <v>0.16590779367943137</v>
      </c>
      <c r="AB127">
        <f t="shared" si="16"/>
        <v>0.37142458690630298</v>
      </c>
      <c r="AD127">
        <f>Inputs!$I$2*ABS(A127-1)*Inputs!$H$2</f>
        <v>3.0082304526748989E-2</v>
      </c>
      <c r="AE127">
        <f>Inputs!$I$3*ABS(B127-1)*Inputs!$H$3</f>
        <v>1.1405796839520112E-2</v>
      </c>
      <c r="AF127">
        <f>Inputs!$I$4*ABS(C127-1)*Inputs!$H$4</f>
        <v>8.9678988679000853E-3</v>
      </c>
      <c r="AG127">
        <f>Inputs!$I$5*ABS(D127-1)*Inputs!$H$5</f>
        <v>0</v>
      </c>
      <c r="AH127">
        <f>Inputs!$I$6*ABS(E127-1)*Inputs!$H$6</f>
        <v>6.4042485034184693E-2</v>
      </c>
      <c r="AI127">
        <f>Inputs!$I$7*ABS(F127-1)*Inputs!$H$7</f>
        <v>1.49493001411365E-2</v>
      </c>
      <c r="AJ127">
        <f>Inputs!$I$8*ABS(G127-1)*Inputs!$H$8</f>
        <v>5.8391635937893226E-2</v>
      </c>
      <c r="AK127">
        <f>Inputs!$I$9*ABS(H127-1)*Inputs!$H$9</f>
        <v>0</v>
      </c>
      <c r="AL127">
        <f t="shared" si="12"/>
        <v>-0.1878394213473836</v>
      </c>
      <c r="AN127" s="1">
        <f t="shared" si="13"/>
        <v>0.18358516555891938</v>
      </c>
      <c r="AO127">
        <f t="shared" si="17"/>
        <v>1.3302351614942348E-4</v>
      </c>
      <c r="AP127">
        <f t="shared" si="18"/>
        <v>1.370019199704959E-3</v>
      </c>
      <c r="AQ127" s="26">
        <f t="shared" si="14"/>
        <v>1.0001221353102183</v>
      </c>
      <c r="AR127">
        <f t="shared" si="15"/>
        <v>-1.3610609671554729E-4</v>
      </c>
    </row>
    <row r="128" spans="1:44" x14ac:dyDescent="0.25">
      <c r="A128">
        <v>0</v>
      </c>
      <c r="B128">
        <v>0</v>
      </c>
      <c r="C128">
        <v>0</v>
      </c>
      <c r="D128">
        <v>0</v>
      </c>
      <c r="E128">
        <v>1</v>
      </c>
      <c r="F128">
        <v>0</v>
      </c>
      <c r="G128">
        <v>0</v>
      </c>
      <c r="H128">
        <v>1</v>
      </c>
      <c r="J128">
        <f>(A128*Inputs!$E$2+ABS((A128-1))*(1-Inputs!$E$2))</f>
        <v>0.35</v>
      </c>
      <c r="K128">
        <f>(B128*Inputs!$E$3+ABS((B128-1))*(1-Inputs!$E$3))</f>
        <v>0.35</v>
      </c>
      <c r="L128">
        <f>(C128*Inputs!$E$4+ABS((C128-1))*(1-Inputs!$E$4))</f>
        <v>0.35</v>
      </c>
      <c r="M128">
        <f>(D128*Inputs!$E$5+ABS((D128-1))*(1-Inputs!$E$5))</f>
        <v>0.35</v>
      </c>
      <c r="N128">
        <f>(E128*Inputs!$E$6+ABS((E128-1))*(1-Inputs!$E$6))</f>
        <v>0.6</v>
      </c>
      <c r="O128">
        <f>(F128*Inputs!$E$7+ABS((F128-1))*(1-Inputs!$E$7))</f>
        <v>0.25</v>
      </c>
      <c r="P128">
        <f>(G128*Inputs!$E$8+ABS((G128-1))*(1-Inputs!$E$8))</f>
        <v>0.4</v>
      </c>
      <c r="Q128">
        <f>(H128*Inputs!$E$9+ABS((H128-1))*(1-Inputs!$E$9))</f>
        <v>0.65</v>
      </c>
      <c r="R128">
        <f t="shared" si="11"/>
        <v>5.8524374999999987E-4</v>
      </c>
      <c r="T128">
        <f>Inputs!$I$2*A128*Inputs!$G$2</f>
        <v>0</v>
      </c>
      <c r="U128">
        <f>Inputs!$I$3*B128*Inputs!$G$3</f>
        <v>0</v>
      </c>
      <c r="V128">
        <f>Inputs!$I$4*C128*Inputs!$G$4</f>
        <v>0</v>
      </c>
      <c r="W128">
        <f>Inputs!$I$5*D128*Inputs!$G$5</f>
        <v>0</v>
      </c>
      <c r="X128">
        <f>Inputs!$I$6*E128*Inputs!$G$6</f>
        <v>0.37656981200100598</v>
      </c>
      <c r="Y128">
        <f>Inputs!$I$7*F128*Inputs!$G$7</f>
        <v>0</v>
      </c>
      <c r="Z128">
        <f>Inputs!$I$8*G128*Inputs!$G$8</f>
        <v>0</v>
      </c>
      <c r="AA128">
        <f>Inputs!$I$9*H128*Inputs!$G$9</f>
        <v>0.16590779367943137</v>
      </c>
      <c r="AB128">
        <f t="shared" si="16"/>
        <v>0.54247760568043735</v>
      </c>
      <c r="AD128">
        <f>Inputs!$I$2*ABS(A128-1)*Inputs!$H$2</f>
        <v>3.0082304526748989E-2</v>
      </c>
      <c r="AE128">
        <f>Inputs!$I$3*ABS(B128-1)*Inputs!$H$3</f>
        <v>1.1405796839520112E-2</v>
      </c>
      <c r="AF128">
        <f>Inputs!$I$4*ABS(C128-1)*Inputs!$H$4</f>
        <v>8.9678988679000853E-3</v>
      </c>
      <c r="AG128">
        <f>Inputs!$I$5*ABS(D128-1)*Inputs!$H$5</f>
        <v>3.0032539984442563E-2</v>
      </c>
      <c r="AH128">
        <f>Inputs!$I$6*ABS(E128-1)*Inputs!$H$6</f>
        <v>0</v>
      </c>
      <c r="AI128">
        <f>Inputs!$I$7*ABS(F128-1)*Inputs!$H$7</f>
        <v>1.49493001411365E-2</v>
      </c>
      <c r="AJ128">
        <f>Inputs!$I$8*ABS(G128-1)*Inputs!$H$8</f>
        <v>5.8391635937893226E-2</v>
      </c>
      <c r="AK128">
        <f>Inputs!$I$9*ABS(H128-1)*Inputs!$H$9</f>
        <v>0</v>
      </c>
      <c r="AL128">
        <f t="shared" si="12"/>
        <v>-0.15382947629764149</v>
      </c>
      <c r="AN128" s="1">
        <f t="shared" si="13"/>
        <v>0.38864812938279586</v>
      </c>
      <c r="AO128">
        <f t="shared" si="17"/>
        <v>2.274538886704726E-4</v>
      </c>
      <c r="AP128">
        <f t="shared" si="18"/>
        <v>8.0111989024173925E-4</v>
      </c>
      <c r="AQ128" s="26">
        <f t="shared" si="14"/>
        <v>1.0001921719557587</v>
      </c>
      <c r="AR128">
        <f t="shared" si="15"/>
        <v>-9.0027739568967804E-5</v>
      </c>
    </row>
    <row r="129" spans="1:44" x14ac:dyDescent="0.25">
      <c r="A129">
        <v>0</v>
      </c>
      <c r="B129">
        <v>0</v>
      </c>
      <c r="C129">
        <v>0</v>
      </c>
      <c r="D129">
        <v>0</v>
      </c>
      <c r="E129">
        <v>0</v>
      </c>
      <c r="F129">
        <v>0</v>
      </c>
      <c r="G129">
        <v>0</v>
      </c>
      <c r="H129">
        <v>1</v>
      </c>
      <c r="J129">
        <f>(A129*Inputs!$E$2+ABS((A129-1))*(1-Inputs!$E$2))</f>
        <v>0.35</v>
      </c>
      <c r="K129">
        <f>(B129*Inputs!$E$3+ABS((B129-1))*(1-Inputs!$E$3))</f>
        <v>0.35</v>
      </c>
      <c r="L129">
        <f>(C129*Inputs!$E$4+ABS((C129-1))*(1-Inputs!$E$4))</f>
        <v>0.35</v>
      </c>
      <c r="M129">
        <f>(D129*Inputs!$E$5+ABS((D129-1))*(1-Inputs!$E$5))</f>
        <v>0.35</v>
      </c>
      <c r="N129">
        <f>(E129*Inputs!$E$6+ABS((E129-1))*(1-Inputs!$E$6))</f>
        <v>0.4</v>
      </c>
      <c r="O129">
        <f>(F129*Inputs!$E$7+ABS((F129-1))*(1-Inputs!$E$7))</f>
        <v>0.25</v>
      </c>
      <c r="P129">
        <f>(G129*Inputs!$E$8+ABS((G129-1))*(1-Inputs!$E$8))</f>
        <v>0.4</v>
      </c>
      <c r="Q129">
        <f>(H129*Inputs!$E$9+ABS((H129-1))*(1-Inputs!$E$9))</f>
        <v>0.65</v>
      </c>
      <c r="R129">
        <f t="shared" si="11"/>
        <v>3.9016249999999995E-4</v>
      </c>
      <c r="T129">
        <f>Inputs!$I$2*A129*Inputs!$G$2</f>
        <v>0</v>
      </c>
      <c r="U129">
        <f>Inputs!$I$3*B129*Inputs!$G$3</f>
        <v>0</v>
      </c>
      <c r="V129">
        <f>Inputs!$I$4*C129*Inputs!$G$4</f>
        <v>0</v>
      </c>
      <c r="W129">
        <f>Inputs!$I$5*D129*Inputs!$G$5</f>
        <v>0</v>
      </c>
      <c r="X129">
        <f>Inputs!$I$6*E129*Inputs!$G$6</f>
        <v>0</v>
      </c>
      <c r="Y129">
        <f>Inputs!$I$7*F129*Inputs!$G$7</f>
        <v>0</v>
      </c>
      <c r="Z129">
        <f>Inputs!$I$8*G129*Inputs!$G$8</f>
        <v>0</v>
      </c>
      <c r="AA129">
        <f>Inputs!$I$9*H129*Inputs!$G$9</f>
        <v>0.16590779367943137</v>
      </c>
      <c r="AB129">
        <f t="shared" si="16"/>
        <v>0.16590779367943137</v>
      </c>
      <c r="AD129">
        <f>Inputs!$I$2*ABS(A129-1)*Inputs!$H$2</f>
        <v>3.0082304526748989E-2</v>
      </c>
      <c r="AE129">
        <f>Inputs!$I$3*ABS(B129-1)*Inputs!$H$3</f>
        <v>1.1405796839520112E-2</v>
      </c>
      <c r="AF129">
        <f>Inputs!$I$4*ABS(C129-1)*Inputs!$H$4</f>
        <v>8.9678988679000853E-3</v>
      </c>
      <c r="AG129">
        <f>Inputs!$I$5*ABS(D129-1)*Inputs!$H$5</f>
        <v>3.0032539984442563E-2</v>
      </c>
      <c r="AH129">
        <f>Inputs!$I$6*ABS(E129-1)*Inputs!$H$6</f>
        <v>6.4042485034184693E-2</v>
      </c>
      <c r="AI129">
        <f>Inputs!$I$7*ABS(F129-1)*Inputs!$H$7</f>
        <v>1.49493001411365E-2</v>
      </c>
      <c r="AJ129">
        <f>Inputs!$I$8*ABS(G129-1)*Inputs!$H$8</f>
        <v>5.8391635937893226E-2</v>
      </c>
      <c r="AK129">
        <f>Inputs!$I$9*ABS(H129-1)*Inputs!$H$9</f>
        <v>0</v>
      </c>
      <c r="AL129">
        <f t="shared" si="12"/>
        <v>-0.21787196133182615</v>
      </c>
      <c r="AN129" s="1">
        <f t="shared" si="13"/>
        <v>-5.1964167652394783E-2</v>
      </c>
      <c r="AO129">
        <f t="shared" si="17"/>
        <v>-2.0274469561677477E-5</v>
      </c>
      <c r="AP129">
        <f t="shared" si="18"/>
        <v>1.0120909947694604E-3</v>
      </c>
      <c r="AQ129" s="26">
        <f t="shared" si="14"/>
        <v>0.99997917998320884</v>
      </c>
      <c r="AR129">
        <f t="shared" si="15"/>
        <v>-8.5005469113128609E-5</v>
      </c>
    </row>
    <row r="130" spans="1:44" x14ac:dyDescent="0.25">
      <c r="A130">
        <v>1</v>
      </c>
      <c r="B130">
        <v>1</v>
      </c>
      <c r="C130">
        <v>1</v>
      </c>
      <c r="D130">
        <v>1</v>
      </c>
      <c r="E130">
        <v>1</v>
      </c>
      <c r="F130">
        <v>1</v>
      </c>
      <c r="G130">
        <v>1</v>
      </c>
      <c r="H130">
        <v>0</v>
      </c>
      <c r="J130">
        <f>(A130*Inputs!$E$2+ABS((A130-1))*(1-Inputs!$E$2))</f>
        <v>0.65</v>
      </c>
      <c r="K130">
        <f>(B130*Inputs!$E$3+ABS((B130-1))*(1-Inputs!$E$3))</f>
        <v>0.65</v>
      </c>
      <c r="L130">
        <f>(C130*Inputs!$E$4+ABS((C130-1))*(1-Inputs!$E$4))</f>
        <v>0.65</v>
      </c>
      <c r="M130">
        <f>(D130*Inputs!$E$5+ABS((D130-1))*(1-Inputs!$E$5))</f>
        <v>0.65</v>
      </c>
      <c r="N130">
        <f>(E130*Inputs!$E$6+ABS((E130-1))*(1-Inputs!$E$6))</f>
        <v>0.6</v>
      </c>
      <c r="O130">
        <f>(F130*Inputs!$E$7+ABS((F130-1))*(1-Inputs!$E$7))</f>
        <v>0.75</v>
      </c>
      <c r="P130">
        <f>(G130*Inputs!$E$8+ABS((G130-1))*(1-Inputs!$E$8))</f>
        <v>0.6</v>
      </c>
      <c r="Q130">
        <f>(H130*Inputs!$E$9+ABS((H130-1))*(1-Inputs!$E$9))</f>
        <v>0.35</v>
      </c>
      <c r="R130">
        <f t="shared" si="11"/>
        <v>1.6868840625000003E-2</v>
      </c>
      <c r="T130">
        <f>Inputs!$I$2*A130*Inputs!$G$2</f>
        <v>0.52958847736625514</v>
      </c>
      <c r="U130">
        <f>Inputs!$I$3*B130*Inputs!$G$3</f>
        <v>0.20645773829738062</v>
      </c>
      <c r="V130">
        <f>Inputs!$I$4*C130*Inputs!$G$4</f>
        <v>0.1422264291528948</v>
      </c>
      <c r="W130">
        <f>Inputs!$I$5*D130*Inputs!$G$5</f>
        <v>0.20551679322687164</v>
      </c>
      <c r="X130">
        <f>Inputs!$I$6*E130*Inputs!$G$6</f>
        <v>0.37656981200100598</v>
      </c>
      <c r="Y130">
        <f>Inputs!$I$7*F130*Inputs!$G$7</f>
        <v>0.19972733373941395</v>
      </c>
      <c r="Z130">
        <f>Inputs!$I$8*G130*Inputs!$G$8</f>
        <v>0.76006970051755651</v>
      </c>
      <c r="AA130">
        <f>Inputs!$I$9*H130*Inputs!$G$9</f>
        <v>0</v>
      </c>
      <c r="AB130">
        <f t="shared" si="16"/>
        <v>2.4201562843013784</v>
      </c>
      <c r="AD130">
        <f>Inputs!$I$2*ABS(A130-1)*Inputs!$H$2</f>
        <v>0</v>
      </c>
      <c r="AE130">
        <f>Inputs!$I$3*ABS(B130-1)*Inputs!$H$3</f>
        <v>0</v>
      </c>
      <c r="AF130">
        <f>Inputs!$I$4*ABS(C130-1)*Inputs!$H$4</f>
        <v>0</v>
      </c>
      <c r="AG130">
        <f>Inputs!$I$5*ABS(D130-1)*Inputs!$H$5</f>
        <v>0</v>
      </c>
      <c r="AH130">
        <f>Inputs!$I$6*ABS(E130-1)*Inputs!$H$6</f>
        <v>0</v>
      </c>
      <c r="AI130">
        <f>Inputs!$I$7*ABS(F130-1)*Inputs!$H$7</f>
        <v>0</v>
      </c>
      <c r="AJ130">
        <f>Inputs!$I$8*ABS(G130-1)*Inputs!$H$8</f>
        <v>0</v>
      </c>
      <c r="AK130">
        <f>Inputs!$I$9*ABS(H130-1)*Inputs!$H$9</f>
        <v>1.3048927592764261E-2</v>
      </c>
      <c r="AL130">
        <f t="shared" si="12"/>
        <v>-1.3048927592764261E-2</v>
      </c>
      <c r="AN130" s="1">
        <f t="shared" si="13"/>
        <v>2.4071073567086141</v>
      </c>
      <c r="AO130">
        <f t="shared" si="17"/>
        <v>4.0605110367582645E-2</v>
      </c>
      <c r="AP130">
        <f t="shared" si="18"/>
        <v>1.2144016501514098E-2</v>
      </c>
      <c r="AQ130" s="26">
        <f t="shared" si="14"/>
        <v>1.0208941883666003</v>
      </c>
      <c r="AR130">
        <f t="shared" si="15"/>
        <v>-2.2012027988950526E-4</v>
      </c>
    </row>
    <row r="131" spans="1:44" x14ac:dyDescent="0.25">
      <c r="A131">
        <v>1</v>
      </c>
      <c r="B131">
        <v>1</v>
      </c>
      <c r="C131">
        <v>1</v>
      </c>
      <c r="D131">
        <v>1</v>
      </c>
      <c r="E131">
        <v>0</v>
      </c>
      <c r="F131">
        <v>1</v>
      </c>
      <c r="G131">
        <v>1</v>
      </c>
      <c r="H131">
        <v>0</v>
      </c>
      <c r="J131">
        <f>(A131*Inputs!$E$2+ABS((A131-1))*(1-Inputs!$E$2))</f>
        <v>0.65</v>
      </c>
      <c r="K131">
        <f>(B131*Inputs!$E$3+ABS((B131-1))*(1-Inputs!$E$3))</f>
        <v>0.65</v>
      </c>
      <c r="L131">
        <f>(C131*Inputs!$E$4+ABS((C131-1))*(1-Inputs!$E$4))</f>
        <v>0.65</v>
      </c>
      <c r="M131">
        <f>(D131*Inputs!$E$5+ABS((D131-1))*(1-Inputs!$E$5))</f>
        <v>0.65</v>
      </c>
      <c r="N131">
        <f>(E131*Inputs!$E$6+ABS((E131-1))*(1-Inputs!$E$6))</f>
        <v>0.4</v>
      </c>
      <c r="O131">
        <f>(F131*Inputs!$E$7+ABS((F131-1))*(1-Inputs!$E$7))</f>
        <v>0.75</v>
      </c>
      <c r="P131">
        <f>(G131*Inputs!$E$8+ABS((G131-1))*(1-Inputs!$E$8))</f>
        <v>0.6</v>
      </c>
      <c r="Q131">
        <f>(H131*Inputs!$E$9+ABS((H131-1))*(1-Inputs!$E$9))</f>
        <v>0.35</v>
      </c>
      <c r="R131">
        <f t="shared" ref="R131:R194" si="19">PRODUCT(J131:Q131)</f>
        <v>1.1245893750000001E-2</v>
      </c>
      <c r="T131">
        <f>Inputs!$I$2*A131*Inputs!$G$2</f>
        <v>0.52958847736625514</v>
      </c>
      <c r="U131">
        <f>Inputs!$I$3*B131*Inputs!$G$3</f>
        <v>0.20645773829738062</v>
      </c>
      <c r="V131">
        <f>Inputs!$I$4*C131*Inputs!$G$4</f>
        <v>0.1422264291528948</v>
      </c>
      <c r="W131">
        <f>Inputs!$I$5*D131*Inputs!$G$5</f>
        <v>0.20551679322687164</v>
      </c>
      <c r="X131">
        <f>Inputs!$I$6*E131*Inputs!$G$6</f>
        <v>0</v>
      </c>
      <c r="Y131">
        <f>Inputs!$I$7*F131*Inputs!$G$7</f>
        <v>0.19972733373941395</v>
      </c>
      <c r="Z131">
        <f>Inputs!$I$8*G131*Inputs!$G$8</f>
        <v>0.76006970051755651</v>
      </c>
      <c r="AA131">
        <f>Inputs!$I$9*H131*Inputs!$G$9</f>
        <v>0</v>
      </c>
      <c r="AB131">
        <f t="shared" si="16"/>
        <v>2.0435864723003725</v>
      </c>
      <c r="AD131">
        <f>Inputs!$I$2*ABS(A131-1)*Inputs!$H$2</f>
        <v>0</v>
      </c>
      <c r="AE131">
        <f>Inputs!$I$3*ABS(B131-1)*Inputs!$H$3</f>
        <v>0</v>
      </c>
      <c r="AF131">
        <f>Inputs!$I$4*ABS(C131-1)*Inputs!$H$4</f>
        <v>0</v>
      </c>
      <c r="AG131">
        <f>Inputs!$I$5*ABS(D131-1)*Inputs!$H$5</f>
        <v>0</v>
      </c>
      <c r="AH131">
        <f>Inputs!$I$6*ABS(E131-1)*Inputs!$H$6</f>
        <v>6.4042485034184693E-2</v>
      </c>
      <c r="AI131">
        <f>Inputs!$I$7*ABS(F131-1)*Inputs!$H$7</f>
        <v>0</v>
      </c>
      <c r="AJ131">
        <f>Inputs!$I$8*ABS(G131-1)*Inputs!$H$8</f>
        <v>0</v>
      </c>
      <c r="AK131">
        <f>Inputs!$I$9*ABS(H131-1)*Inputs!$H$9</f>
        <v>1.3048927592764261E-2</v>
      </c>
      <c r="AL131">
        <f t="shared" ref="AL131:AL194" si="20">-1*SUM(AD131:AK131)</f>
        <v>-7.7091412626948949E-2</v>
      </c>
      <c r="AN131" s="1">
        <f t="shared" ref="AN131:AN194" si="21">AB131+AL131</f>
        <v>1.9664950596734236</v>
      </c>
      <c r="AO131">
        <f t="shared" si="17"/>
        <v>2.2114994500987233E-2</v>
      </c>
      <c r="AP131">
        <f t="shared" si="18"/>
        <v>1.8707678939278273E-3</v>
      </c>
      <c r="AQ131" s="26">
        <f t="shared" ref="AQ131:AQ194" si="22">((1+AN131))^R131</f>
        <v>1.0123036474841516</v>
      </c>
      <c r="AR131">
        <f t="shared" ref="AR131:AR194" si="23">AL131*R131</f>
        <v>-8.6696183544007635E-4</v>
      </c>
    </row>
    <row r="132" spans="1:44" x14ac:dyDescent="0.25">
      <c r="A132">
        <v>1</v>
      </c>
      <c r="B132">
        <v>1</v>
      </c>
      <c r="C132">
        <v>1</v>
      </c>
      <c r="D132">
        <v>0</v>
      </c>
      <c r="E132">
        <v>1</v>
      </c>
      <c r="F132">
        <v>1</v>
      </c>
      <c r="G132">
        <v>1</v>
      </c>
      <c r="H132">
        <v>0</v>
      </c>
      <c r="J132">
        <f>(A132*Inputs!$E$2+ABS((A132-1))*(1-Inputs!$E$2))</f>
        <v>0.65</v>
      </c>
      <c r="K132">
        <f>(B132*Inputs!$E$3+ABS((B132-1))*(1-Inputs!$E$3))</f>
        <v>0.65</v>
      </c>
      <c r="L132">
        <f>(C132*Inputs!$E$4+ABS((C132-1))*(1-Inputs!$E$4))</f>
        <v>0.65</v>
      </c>
      <c r="M132">
        <f>(D132*Inputs!$E$5+ABS((D132-1))*(1-Inputs!$E$5))</f>
        <v>0.35</v>
      </c>
      <c r="N132">
        <f>(E132*Inputs!$E$6+ABS((E132-1))*(1-Inputs!$E$6))</f>
        <v>0.6</v>
      </c>
      <c r="O132">
        <f>(F132*Inputs!$E$7+ABS((F132-1))*(1-Inputs!$E$7))</f>
        <v>0.75</v>
      </c>
      <c r="P132">
        <f>(G132*Inputs!$E$8+ABS((G132-1))*(1-Inputs!$E$8))</f>
        <v>0.6</v>
      </c>
      <c r="Q132">
        <f>(H132*Inputs!$E$9+ABS((H132-1))*(1-Inputs!$E$9))</f>
        <v>0.35</v>
      </c>
      <c r="R132">
        <f t="shared" si="19"/>
        <v>9.0832218750000002E-3</v>
      </c>
      <c r="T132">
        <f>Inputs!$I$2*A132*Inputs!$G$2</f>
        <v>0.52958847736625514</v>
      </c>
      <c r="U132">
        <f>Inputs!$I$3*B132*Inputs!$G$3</f>
        <v>0.20645773829738062</v>
      </c>
      <c r="V132">
        <f>Inputs!$I$4*C132*Inputs!$G$4</f>
        <v>0.1422264291528948</v>
      </c>
      <c r="W132">
        <f>Inputs!$I$5*D132*Inputs!$G$5</f>
        <v>0</v>
      </c>
      <c r="X132">
        <f>Inputs!$I$6*E132*Inputs!$G$6</f>
        <v>0.37656981200100598</v>
      </c>
      <c r="Y132">
        <f>Inputs!$I$7*F132*Inputs!$G$7</f>
        <v>0.19972733373941395</v>
      </c>
      <c r="Z132">
        <f>Inputs!$I$8*G132*Inputs!$G$8</f>
        <v>0.76006970051755651</v>
      </c>
      <c r="AA132">
        <f>Inputs!$I$9*H132*Inputs!$G$9</f>
        <v>0</v>
      </c>
      <c r="AB132">
        <f t="shared" si="16"/>
        <v>2.2146394910745069</v>
      </c>
      <c r="AD132">
        <f>Inputs!$I$2*ABS(A132-1)*Inputs!$H$2</f>
        <v>0</v>
      </c>
      <c r="AE132">
        <f>Inputs!$I$3*ABS(B132-1)*Inputs!$H$3</f>
        <v>0</v>
      </c>
      <c r="AF132">
        <f>Inputs!$I$4*ABS(C132-1)*Inputs!$H$4</f>
        <v>0</v>
      </c>
      <c r="AG132">
        <f>Inputs!$I$5*ABS(D132-1)*Inputs!$H$5</f>
        <v>3.0032539984442563E-2</v>
      </c>
      <c r="AH132">
        <f>Inputs!$I$6*ABS(E132-1)*Inputs!$H$6</f>
        <v>0</v>
      </c>
      <c r="AI132">
        <f>Inputs!$I$7*ABS(F132-1)*Inputs!$H$7</f>
        <v>0</v>
      </c>
      <c r="AJ132">
        <f>Inputs!$I$8*ABS(G132-1)*Inputs!$H$8</f>
        <v>0</v>
      </c>
      <c r="AK132">
        <f>Inputs!$I$9*ABS(H132-1)*Inputs!$H$9</f>
        <v>1.3048927592764261E-2</v>
      </c>
      <c r="AL132">
        <f t="shared" si="20"/>
        <v>-4.3081467577206822E-2</v>
      </c>
      <c r="AN132" s="1">
        <f t="shared" si="21"/>
        <v>2.1715580234973002</v>
      </c>
      <c r="AO132">
        <f t="shared" si="17"/>
        <v>1.9724743341862441E-2</v>
      </c>
      <c r="AP132">
        <f t="shared" si="18"/>
        <v>3.4123547339065257E-3</v>
      </c>
      <c r="AQ132" s="26">
        <f t="shared" si="22"/>
        <v>1.0105392135690556</v>
      </c>
      <c r="AR132">
        <f t="shared" si="23"/>
        <v>-3.9131852870438825E-4</v>
      </c>
    </row>
    <row r="133" spans="1:44" x14ac:dyDescent="0.25">
      <c r="A133">
        <v>1</v>
      </c>
      <c r="B133">
        <v>1</v>
      </c>
      <c r="C133">
        <v>1</v>
      </c>
      <c r="D133">
        <v>0</v>
      </c>
      <c r="E133">
        <v>0</v>
      </c>
      <c r="F133">
        <v>1</v>
      </c>
      <c r="G133">
        <v>1</v>
      </c>
      <c r="H133">
        <v>0</v>
      </c>
      <c r="J133">
        <f>(A133*Inputs!$E$2+ABS((A133-1))*(1-Inputs!$E$2))</f>
        <v>0.65</v>
      </c>
      <c r="K133">
        <f>(B133*Inputs!$E$3+ABS((B133-1))*(1-Inputs!$E$3))</f>
        <v>0.65</v>
      </c>
      <c r="L133">
        <f>(C133*Inputs!$E$4+ABS((C133-1))*(1-Inputs!$E$4))</f>
        <v>0.65</v>
      </c>
      <c r="M133">
        <f>(D133*Inputs!$E$5+ABS((D133-1))*(1-Inputs!$E$5))</f>
        <v>0.35</v>
      </c>
      <c r="N133">
        <f>(E133*Inputs!$E$6+ABS((E133-1))*(1-Inputs!$E$6))</f>
        <v>0.4</v>
      </c>
      <c r="O133">
        <f>(F133*Inputs!$E$7+ABS((F133-1))*(1-Inputs!$E$7))</f>
        <v>0.75</v>
      </c>
      <c r="P133">
        <f>(G133*Inputs!$E$8+ABS((G133-1))*(1-Inputs!$E$8))</f>
        <v>0.6</v>
      </c>
      <c r="Q133">
        <f>(H133*Inputs!$E$9+ABS((H133-1))*(1-Inputs!$E$9))</f>
        <v>0.35</v>
      </c>
      <c r="R133">
        <f t="shared" si="19"/>
        <v>6.0554812500000013E-3</v>
      </c>
      <c r="T133">
        <f>Inputs!$I$2*A133*Inputs!$G$2</f>
        <v>0.52958847736625514</v>
      </c>
      <c r="U133">
        <f>Inputs!$I$3*B133*Inputs!$G$3</f>
        <v>0.20645773829738062</v>
      </c>
      <c r="V133">
        <f>Inputs!$I$4*C133*Inputs!$G$4</f>
        <v>0.1422264291528948</v>
      </c>
      <c r="W133">
        <f>Inputs!$I$5*D133*Inputs!$G$5</f>
        <v>0</v>
      </c>
      <c r="X133">
        <f>Inputs!$I$6*E133*Inputs!$G$6</f>
        <v>0</v>
      </c>
      <c r="Y133">
        <f>Inputs!$I$7*F133*Inputs!$G$7</f>
        <v>0.19972733373941395</v>
      </c>
      <c r="Z133">
        <f>Inputs!$I$8*G133*Inputs!$G$8</f>
        <v>0.76006970051755651</v>
      </c>
      <c r="AA133">
        <f>Inputs!$I$9*H133*Inputs!$G$9</f>
        <v>0</v>
      </c>
      <c r="AB133">
        <f t="shared" si="16"/>
        <v>1.8380696790735009</v>
      </c>
      <c r="AD133">
        <f>Inputs!$I$2*ABS(A133-1)*Inputs!$H$2</f>
        <v>0</v>
      </c>
      <c r="AE133">
        <f>Inputs!$I$3*ABS(B133-1)*Inputs!$H$3</f>
        <v>0</v>
      </c>
      <c r="AF133">
        <f>Inputs!$I$4*ABS(C133-1)*Inputs!$H$4</f>
        <v>0</v>
      </c>
      <c r="AG133">
        <f>Inputs!$I$5*ABS(D133-1)*Inputs!$H$5</f>
        <v>3.0032539984442563E-2</v>
      </c>
      <c r="AH133">
        <f>Inputs!$I$6*ABS(E133-1)*Inputs!$H$6</f>
        <v>6.4042485034184693E-2</v>
      </c>
      <c r="AI133">
        <f>Inputs!$I$7*ABS(F133-1)*Inputs!$H$7</f>
        <v>0</v>
      </c>
      <c r="AJ133">
        <f>Inputs!$I$8*ABS(G133-1)*Inputs!$H$8</f>
        <v>0</v>
      </c>
      <c r="AK133">
        <f>Inputs!$I$9*ABS(H133-1)*Inputs!$H$9</f>
        <v>1.3048927592764261E-2</v>
      </c>
      <c r="AL133">
        <f t="shared" si="20"/>
        <v>-0.10712395261139152</v>
      </c>
      <c r="AN133" s="1">
        <f t="shared" si="21"/>
        <v>1.7309457264621093</v>
      </c>
      <c r="AO133">
        <f t="shared" si="17"/>
        <v>1.0481709391358934E-2</v>
      </c>
      <c r="AP133">
        <f t="shared" si="18"/>
        <v>1.7979671502272665E-4</v>
      </c>
      <c r="AQ133" s="26">
        <f t="shared" si="22"/>
        <v>1.0061021697819592</v>
      </c>
      <c r="AR133">
        <f t="shared" si="23"/>
        <v>-6.4868708646417003E-4</v>
      </c>
    </row>
    <row r="134" spans="1:44" x14ac:dyDescent="0.25">
      <c r="A134">
        <v>1</v>
      </c>
      <c r="B134">
        <v>1</v>
      </c>
      <c r="C134">
        <v>0</v>
      </c>
      <c r="D134">
        <v>1</v>
      </c>
      <c r="E134">
        <v>1</v>
      </c>
      <c r="F134">
        <v>1</v>
      </c>
      <c r="G134">
        <v>1</v>
      </c>
      <c r="H134">
        <v>0</v>
      </c>
      <c r="J134">
        <f>(A134*Inputs!$E$2+ABS((A134-1))*(1-Inputs!$E$2))</f>
        <v>0.65</v>
      </c>
      <c r="K134">
        <f>(B134*Inputs!$E$3+ABS((B134-1))*(1-Inputs!$E$3))</f>
        <v>0.65</v>
      </c>
      <c r="L134">
        <f>(C134*Inputs!$E$4+ABS((C134-1))*(1-Inputs!$E$4))</f>
        <v>0.35</v>
      </c>
      <c r="M134">
        <f>(D134*Inputs!$E$5+ABS((D134-1))*(1-Inputs!$E$5))</f>
        <v>0.65</v>
      </c>
      <c r="N134">
        <f>(E134*Inputs!$E$6+ABS((E134-1))*(1-Inputs!$E$6))</f>
        <v>0.6</v>
      </c>
      <c r="O134">
        <f>(F134*Inputs!$E$7+ABS((F134-1))*(1-Inputs!$E$7))</f>
        <v>0.75</v>
      </c>
      <c r="P134">
        <f>(G134*Inputs!$E$8+ABS((G134-1))*(1-Inputs!$E$8))</f>
        <v>0.6</v>
      </c>
      <c r="Q134">
        <f>(H134*Inputs!$E$9+ABS((H134-1))*(1-Inputs!$E$9))</f>
        <v>0.35</v>
      </c>
      <c r="R134">
        <f t="shared" si="19"/>
        <v>9.0832218749999985E-3</v>
      </c>
      <c r="T134">
        <f>Inputs!$I$2*A134*Inputs!$G$2</f>
        <v>0.52958847736625514</v>
      </c>
      <c r="U134">
        <f>Inputs!$I$3*B134*Inputs!$G$3</f>
        <v>0.20645773829738062</v>
      </c>
      <c r="V134">
        <f>Inputs!$I$4*C134*Inputs!$G$4</f>
        <v>0</v>
      </c>
      <c r="W134">
        <f>Inputs!$I$5*D134*Inputs!$G$5</f>
        <v>0.20551679322687164</v>
      </c>
      <c r="X134">
        <f>Inputs!$I$6*E134*Inputs!$G$6</f>
        <v>0.37656981200100598</v>
      </c>
      <c r="Y134">
        <f>Inputs!$I$7*F134*Inputs!$G$7</f>
        <v>0.19972733373941395</v>
      </c>
      <c r="Z134">
        <f>Inputs!$I$8*G134*Inputs!$G$8</f>
        <v>0.76006970051755651</v>
      </c>
      <c r="AA134">
        <f>Inputs!$I$9*H134*Inputs!$G$9</f>
        <v>0</v>
      </c>
      <c r="AB134">
        <f t="shared" si="16"/>
        <v>2.2779298551484839</v>
      </c>
      <c r="AD134">
        <f>Inputs!$I$2*ABS(A134-1)*Inputs!$H$2</f>
        <v>0</v>
      </c>
      <c r="AE134">
        <f>Inputs!$I$3*ABS(B134-1)*Inputs!$H$3</f>
        <v>0</v>
      </c>
      <c r="AF134">
        <f>Inputs!$I$4*ABS(C134-1)*Inputs!$H$4</f>
        <v>8.9678988679000853E-3</v>
      </c>
      <c r="AG134">
        <f>Inputs!$I$5*ABS(D134-1)*Inputs!$H$5</f>
        <v>0</v>
      </c>
      <c r="AH134">
        <f>Inputs!$I$6*ABS(E134-1)*Inputs!$H$6</f>
        <v>0</v>
      </c>
      <c r="AI134">
        <f>Inputs!$I$7*ABS(F134-1)*Inputs!$H$7</f>
        <v>0</v>
      </c>
      <c r="AJ134">
        <f>Inputs!$I$8*ABS(G134-1)*Inputs!$H$8</f>
        <v>0</v>
      </c>
      <c r="AK134">
        <f>Inputs!$I$9*ABS(H134-1)*Inputs!$H$9</f>
        <v>1.3048927592764261E-2</v>
      </c>
      <c r="AL134">
        <f t="shared" si="20"/>
        <v>-2.2016826460664347E-2</v>
      </c>
      <c r="AN134" s="1">
        <f t="shared" si="21"/>
        <v>2.2559130286878197</v>
      </c>
      <c r="AO134">
        <f t="shared" si="17"/>
        <v>2.0490958570274703E-2</v>
      </c>
      <c r="AP134">
        <f t="shared" si="18"/>
        <v>4.4162533048981139E-3</v>
      </c>
      <c r="AQ134" s="26">
        <f t="shared" si="22"/>
        <v>1.0107801877589639</v>
      </c>
      <c r="AR134">
        <f t="shared" si="23"/>
        <v>-1.9998371972558519E-4</v>
      </c>
    </row>
    <row r="135" spans="1:44" x14ac:dyDescent="0.25">
      <c r="A135">
        <v>1</v>
      </c>
      <c r="B135">
        <v>1</v>
      </c>
      <c r="C135">
        <v>0</v>
      </c>
      <c r="D135">
        <v>1</v>
      </c>
      <c r="E135">
        <v>0</v>
      </c>
      <c r="F135">
        <v>1</v>
      </c>
      <c r="G135">
        <v>1</v>
      </c>
      <c r="H135">
        <v>0</v>
      </c>
      <c r="J135">
        <f>(A135*Inputs!$E$2+ABS((A135-1))*(1-Inputs!$E$2))</f>
        <v>0.65</v>
      </c>
      <c r="K135">
        <f>(B135*Inputs!$E$3+ABS((B135-1))*(1-Inputs!$E$3))</f>
        <v>0.65</v>
      </c>
      <c r="L135">
        <f>(C135*Inputs!$E$4+ABS((C135-1))*(1-Inputs!$E$4))</f>
        <v>0.35</v>
      </c>
      <c r="M135">
        <f>(D135*Inputs!$E$5+ABS((D135-1))*(1-Inputs!$E$5))</f>
        <v>0.65</v>
      </c>
      <c r="N135">
        <f>(E135*Inputs!$E$6+ABS((E135-1))*(1-Inputs!$E$6))</f>
        <v>0.4</v>
      </c>
      <c r="O135">
        <f>(F135*Inputs!$E$7+ABS((F135-1))*(1-Inputs!$E$7))</f>
        <v>0.75</v>
      </c>
      <c r="P135">
        <f>(G135*Inputs!$E$8+ABS((G135-1))*(1-Inputs!$E$8))</f>
        <v>0.6</v>
      </c>
      <c r="Q135">
        <f>(H135*Inputs!$E$9+ABS((H135-1))*(1-Inputs!$E$9))</f>
        <v>0.35</v>
      </c>
      <c r="R135">
        <f t="shared" si="19"/>
        <v>6.0554812499999996E-3</v>
      </c>
      <c r="T135">
        <f>Inputs!$I$2*A135*Inputs!$G$2</f>
        <v>0.52958847736625514</v>
      </c>
      <c r="U135">
        <f>Inputs!$I$3*B135*Inputs!$G$3</f>
        <v>0.20645773829738062</v>
      </c>
      <c r="V135">
        <f>Inputs!$I$4*C135*Inputs!$G$4</f>
        <v>0</v>
      </c>
      <c r="W135">
        <f>Inputs!$I$5*D135*Inputs!$G$5</f>
        <v>0.20551679322687164</v>
      </c>
      <c r="X135">
        <f>Inputs!$I$6*E135*Inputs!$G$6</f>
        <v>0</v>
      </c>
      <c r="Y135">
        <f>Inputs!$I$7*F135*Inputs!$G$7</f>
        <v>0.19972733373941395</v>
      </c>
      <c r="Z135">
        <f>Inputs!$I$8*G135*Inputs!$G$8</f>
        <v>0.76006970051755651</v>
      </c>
      <c r="AA135">
        <f>Inputs!$I$9*H135*Inputs!$G$9</f>
        <v>0</v>
      </c>
      <c r="AB135">
        <f t="shared" si="16"/>
        <v>1.901360043147478</v>
      </c>
      <c r="AD135">
        <f>Inputs!$I$2*ABS(A135-1)*Inputs!$H$2</f>
        <v>0</v>
      </c>
      <c r="AE135">
        <f>Inputs!$I$3*ABS(B135-1)*Inputs!$H$3</f>
        <v>0</v>
      </c>
      <c r="AF135">
        <f>Inputs!$I$4*ABS(C135-1)*Inputs!$H$4</f>
        <v>8.9678988679000853E-3</v>
      </c>
      <c r="AG135">
        <f>Inputs!$I$5*ABS(D135-1)*Inputs!$H$5</f>
        <v>0</v>
      </c>
      <c r="AH135">
        <f>Inputs!$I$6*ABS(E135-1)*Inputs!$H$6</f>
        <v>6.4042485034184693E-2</v>
      </c>
      <c r="AI135">
        <f>Inputs!$I$7*ABS(F135-1)*Inputs!$H$7</f>
        <v>0</v>
      </c>
      <c r="AJ135">
        <f>Inputs!$I$8*ABS(G135-1)*Inputs!$H$8</f>
        <v>0</v>
      </c>
      <c r="AK135">
        <f>Inputs!$I$9*ABS(H135-1)*Inputs!$H$9</f>
        <v>1.3048927592764261E-2</v>
      </c>
      <c r="AL135">
        <f t="shared" si="20"/>
        <v>-8.6059311494849036E-2</v>
      </c>
      <c r="AN135" s="1">
        <f t="shared" si="21"/>
        <v>1.8153007316526288</v>
      </c>
      <c r="AO135">
        <f t="shared" si="17"/>
        <v>1.0992519543633774E-2</v>
      </c>
      <c r="AP135">
        <f t="shared" si="18"/>
        <v>3.9892395993169059E-4</v>
      </c>
      <c r="AQ135" s="26">
        <f t="shared" si="22"/>
        <v>1.0062875254754213</v>
      </c>
      <c r="AR135">
        <f t="shared" si="23"/>
        <v>-5.2113054714496775E-4</v>
      </c>
    </row>
    <row r="136" spans="1:44" x14ac:dyDescent="0.25">
      <c r="A136">
        <v>1</v>
      </c>
      <c r="B136">
        <v>1</v>
      </c>
      <c r="C136">
        <v>0</v>
      </c>
      <c r="D136">
        <v>0</v>
      </c>
      <c r="E136">
        <v>1</v>
      </c>
      <c r="F136">
        <v>1</v>
      </c>
      <c r="G136">
        <v>1</v>
      </c>
      <c r="H136">
        <v>0</v>
      </c>
      <c r="J136">
        <f>(A136*Inputs!$E$2+ABS((A136-1))*(1-Inputs!$E$2))</f>
        <v>0.65</v>
      </c>
      <c r="K136">
        <f>(B136*Inputs!$E$3+ABS((B136-1))*(1-Inputs!$E$3))</f>
        <v>0.65</v>
      </c>
      <c r="L136">
        <f>(C136*Inputs!$E$4+ABS((C136-1))*(1-Inputs!$E$4))</f>
        <v>0.35</v>
      </c>
      <c r="M136">
        <f>(D136*Inputs!$E$5+ABS((D136-1))*(1-Inputs!$E$5))</f>
        <v>0.35</v>
      </c>
      <c r="N136">
        <f>(E136*Inputs!$E$6+ABS((E136-1))*(1-Inputs!$E$6))</f>
        <v>0.6</v>
      </c>
      <c r="O136">
        <f>(F136*Inputs!$E$7+ABS((F136-1))*(1-Inputs!$E$7))</f>
        <v>0.75</v>
      </c>
      <c r="P136">
        <f>(G136*Inputs!$E$8+ABS((G136-1))*(1-Inputs!$E$8))</f>
        <v>0.6</v>
      </c>
      <c r="Q136">
        <f>(H136*Inputs!$E$9+ABS((H136-1))*(1-Inputs!$E$9))</f>
        <v>0.35</v>
      </c>
      <c r="R136">
        <f t="shared" si="19"/>
        <v>4.8909656250000003E-3</v>
      </c>
      <c r="T136">
        <f>Inputs!$I$2*A136*Inputs!$G$2</f>
        <v>0.52958847736625514</v>
      </c>
      <c r="U136">
        <f>Inputs!$I$3*B136*Inputs!$G$3</f>
        <v>0.20645773829738062</v>
      </c>
      <c r="V136">
        <f>Inputs!$I$4*C136*Inputs!$G$4</f>
        <v>0</v>
      </c>
      <c r="W136">
        <f>Inputs!$I$5*D136*Inputs!$G$5</f>
        <v>0</v>
      </c>
      <c r="X136">
        <f>Inputs!$I$6*E136*Inputs!$G$6</f>
        <v>0.37656981200100598</v>
      </c>
      <c r="Y136">
        <f>Inputs!$I$7*F136*Inputs!$G$7</f>
        <v>0.19972733373941395</v>
      </c>
      <c r="Z136">
        <f>Inputs!$I$8*G136*Inputs!$G$8</f>
        <v>0.76006970051755651</v>
      </c>
      <c r="AA136">
        <f>Inputs!$I$9*H136*Inputs!$G$9</f>
        <v>0</v>
      </c>
      <c r="AB136">
        <f t="shared" si="16"/>
        <v>2.0724130619216119</v>
      </c>
      <c r="AD136">
        <f>Inputs!$I$2*ABS(A136-1)*Inputs!$H$2</f>
        <v>0</v>
      </c>
      <c r="AE136">
        <f>Inputs!$I$3*ABS(B136-1)*Inputs!$H$3</f>
        <v>0</v>
      </c>
      <c r="AF136">
        <f>Inputs!$I$4*ABS(C136-1)*Inputs!$H$4</f>
        <v>8.9678988679000853E-3</v>
      </c>
      <c r="AG136">
        <f>Inputs!$I$5*ABS(D136-1)*Inputs!$H$5</f>
        <v>3.0032539984442563E-2</v>
      </c>
      <c r="AH136">
        <f>Inputs!$I$6*ABS(E136-1)*Inputs!$H$6</f>
        <v>0</v>
      </c>
      <c r="AI136">
        <f>Inputs!$I$7*ABS(F136-1)*Inputs!$H$7</f>
        <v>0</v>
      </c>
      <c r="AJ136">
        <f>Inputs!$I$8*ABS(G136-1)*Inputs!$H$8</f>
        <v>0</v>
      </c>
      <c r="AK136">
        <f>Inputs!$I$9*ABS(H136-1)*Inputs!$H$9</f>
        <v>1.3048927592764261E-2</v>
      </c>
      <c r="AL136">
        <f t="shared" si="20"/>
        <v>-5.2049366445106909E-2</v>
      </c>
      <c r="AN136" s="1">
        <f t="shared" si="21"/>
        <v>2.020363695476505</v>
      </c>
      <c r="AO136">
        <f t="shared" si="17"/>
        <v>9.8815293845735536E-3</v>
      </c>
      <c r="AP136">
        <f t="shared" si="18"/>
        <v>1.0427291154221038E-3</v>
      </c>
      <c r="AQ136" s="26">
        <f t="shared" si="22"/>
        <v>1.0054210028959165</v>
      </c>
      <c r="AR136">
        <f t="shared" si="23"/>
        <v>-2.5457166208604635E-4</v>
      </c>
    </row>
    <row r="137" spans="1:44" x14ac:dyDescent="0.25">
      <c r="A137">
        <v>1</v>
      </c>
      <c r="B137">
        <v>1</v>
      </c>
      <c r="C137">
        <v>0</v>
      </c>
      <c r="D137">
        <v>0</v>
      </c>
      <c r="E137">
        <v>0</v>
      </c>
      <c r="F137">
        <v>1</v>
      </c>
      <c r="G137">
        <v>1</v>
      </c>
      <c r="H137">
        <v>0</v>
      </c>
      <c r="J137">
        <f>(A137*Inputs!$E$2+ABS((A137-1))*(1-Inputs!$E$2))</f>
        <v>0.65</v>
      </c>
      <c r="K137">
        <f>(B137*Inputs!$E$3+ABS((B137-1))*(1-Inputs!$E$3))</f>
        <v>0.65</v>
      </c>
      <c r="L137">
        <f>(C137*Inputs!$E$4+ABS((C137-1))*(1-Inputs!$E$4))</f>
        <v>0.35</v>
      </c>
      <c r="M137">
        <f>(D137*Inputs!$E$5+ABS((D137-1))*(1-Inputs!$E$5))</f>
        <v>0.35</v>
      </c>
      <c r="N137">
        <f>(E137*Inputs!$E$6+ABS((E137-1))*(1-Inputs!$E$6))</f>
        <v>0.4</v>
      </c>
      <c r="O137">
        <f>(F137*Inputs!$E$7+ABS((F137-1))*(1-Inputs!$E$7))</f>
        <v>0.75</v>
      </c>
      <c r="P137">
        <f>(G137*Inputs!$E$8+ABS((G137-1))*(1-Inputs!$E$8))</f>
        <v>0.6</v>
      </c>
      <c r="Q137">
        <f>(H137*Inputs!$E$9+ABS((H137-1))*(1-Inputs!$E$9))</f>
        <v>0.35</v>
      </c>
      <c r="R137">
        <f t="shared" si="19"/>
        <v>3.2606437499999997E-3</v>
      </c>
      <c r="T137">
        <f>Inputs!$I$2*A137*Inputs!$G$2</f>
        <v>0.52958847736625514</v>
      </c>
      <c r="U137">
        <f>Inputs!$I$3*B137*Inputs!$G$3</f>
        <v>0.20645773829738062</v>
      </c>
      <c r="V137">
        <f>Inputs!$I$4*C137*Inputs!$G$4</f>
        <v>0</v>
      </c>
      <c r="W137">
        <f>Inputs!$I$5*D137*Inputs!$G$5</f>
        <v>0</v>
      </c>
      <c r="X137">
        <f>Inputs!$I$6*E137*Inputs!$G$6</f>
        <v>0</v>
      </c>
      <c r="Y137">
        <f>Inputs!$I$7*F137*Inputs!$G$7</f>
        <v>0.19972733373941395</v>
      </c>
      <c r="Z137">
        <f>Inputs!$I$8*G137*Inputs!$G$8</f>
        <v>0.76006970051755651</v>
      </c>
      <c r="AA137">
        <f>Inputs!$I$9*H137*Inputs!$G$9</f>
        <v>0</v>
      </c>
      <c r="AB137">
        <f t="shared" si="16"/>
        <v>1.6958432499206064</v>
      </c>
      <c r="AD137">
        <f>Inputs!$I$2*ABS(A137-1)*Inputs!$H$2</f>
        <v>0</v>
      </c>
      <c r="AE137">
        <f>Inputs!$I$3*ABS(B137-1)*Inputs!$H$3</f>
        <v>0</v>
      </c>
      <c r="AF137">
        <f>Inputs!$I$4*ABS(C137-1)*Inputs!$H$4</f>
        <v>8.9678988679000853E-3</v>
      </c>
      <c r="AG137">
        <f>Inputs!$I$5*ABS(D137-1)*Inputs!$H$5</f>
        <v>3.0032539984442563E-2</v>
      </c>
      <c r="AH137">
        <f>Inputs!$I$6*ABS(E137-1)*Inputs!$H$6</f>
        <v>6.4042485034184693E-2</v>
      </c>
      <c r="AI137">
        <f>Inputs!$I$7*ABS(F137-1)*Inputs!$H$7</f>
        <v>0</v>
      </c>
      <c r="AJ137">
        <f>Inputs!$I$8*ABS(G137-1)*Inputs!$H$8</f>
        <v>0</v>
      </c>
      <c r="AK137">
        <f>Inputs!$I$9*ABS(H137-1)*Inputs!$H$9</f>
        <v>1.3048927592764261E-2</v>
      </c>
      <c r="AL137">
        <f t="shared" si="20"/>
        <v>-0.11609185147929159</v>
      </c>
      <c r="AN137" s="1">
        <f t="shared" si="21"/>
        <v>1.5797513984413147</v>
      </c>
      <c r="AO137">
        <f t="shared" si="17"/>
        <v>5.1510065238814318E-3</v>
      </c>
      <c r="AP137">
        <f t="shared" si="18"/>
        <v>1.4541596721403553E-6</v>
      </c>
      <c r="AQ137" s="26">
        <f t="shared" si="22"/>
        <v>1.0030948686260135</v>
      </c>
      <c r="AR137">
        <f t="shared" si="23"/>
        <v>-3.7853416995188035E-4</v>
      </c>
    </row>
    <row r="138" spans="1:44" x14ac:dyDescent="0.25">
      <c r="A138">
        <v>1</v>
      </c>
      <c r="B138">
        <v>0</v>
      </c>
      <c r="C138">
        <v>1</v>
      </c>
      <c r="D138">
        <v>1</v>
      </c>
      <c r="E138">
        <v>1</v>
      </c>
      <c r="F138">
        <v>1</v>
      </c>
      <c r="G138">
        <v>1</v>
      </c>
      <c r="H138">
        <v>0</v>
      </c>
      <c r="J138">
        <f>(A138*Inputs!$E$2+ABS((A138-1))*(1-Inputs!$E$2))</f>
        <v>0.65</v>
      </c>
      <c r="K138">
        <f>(B138*Inputs!$E$3+ABS((B138-1))*(1-Inputs!$E$3))</f>
        <v>0.35</v>
      </c>
      <c r="L138">
        <f>(C138*Inputs!$E$4+ABS((C138-1))*(1-Inputs!$E$4))</f>
        <v>0.65</v>
      </c>
      <c r="M138">
        <f>(D138*Inputs!$E$5+ABS((D138-1))*(1-Inputs!$E$5))</f>
        <v>0.65</v>
      </c>
      <c r="N138">
        <f>(E138*Inputs!$E$6+ABS((E138-1))*(1-Inputs!$E$6))</f>
        <v>0.6</v>
      </c>
      <c r="O138">
        <f>(F138*Inputs!$E$7+ABS((F138-1))*(1-Inputs!$E$7))</f>
        <v>0.75</v>
      </c>
      <c r="P138">
        <f>(G138*Inputs!$E$8+ABS((G138-1))*(1-Inputs!$E$8))</f>
        <v>0.6</v>
      </c>
      <c r="Q138">
        <f>(H138*Inputs!$E$9+ABS((H138-1))*(1-Inputs!$E$9))</f>
        <v>0.35</v>
      </c>
      <c r="R138">
        <f t="shared" si="19"/>
        <v>9.0832218749999968E-3</v>
      </c>
      <c r="T138">
        <f>Inputs!$I$2*A138*Inputs!$G$2</f>
        <v>0.52958847736625514</v>
      </c>
      <c r="U138">
        <f>Inputs!$I$3*B138*Inputs!$G$3</f>
        <v>0</v>
      </c>
      <c r="V138">
        <f>Inputs!$I$4*C138*Inputs!$G$4</f>
        <v>0.1422264291528948</v>
      </c>
      <c r="W138">
        <f>Inputs!$I$5*D138*Inputs!$G$5</f>
        <v>0.20551679322687164</v>
      </c>
      <c r="X138">
        <f>Inputs!$I$6*E138*Inputs!$G$6</f>
        <v>0.37656981200100598</v>
      </c>
      <c r="Y138">
        <f>Inputs!$I$7*F138*Inputs!$G$7</f>
        <v>0.19972733373941395</v>
      </c>
      <c r="Z138">
        <f>Inputs!$I$8*G138*Inputs!$G$8</f>
        <v>0.76006970051755651</v>
      </c>
      <c r="AA138">
        <f>Inputs!$I$9*H138*Inputs!$G$9</f>
        <v>0</v>
      </c>
      <c r="AB138">
        <f t="shared" si="16"/>
        <v>2.213698546003998</v>
      </c>
      <c r="AD138">
        <f>Inputs!$I$2*ABS(A138-1)*Inputs!$H$2</f>
        <v>0</v>
      </c>
      <c r="AE138">
        <f>Inputs!$I$3*ABS(B138-1)*Inputs!$H$3</f>
        <v>1.1405796839520112E-2</v>
      </c>
      <c r="AF138">
        <f>Inputs!$I$4*ABS(C138-1)*Inputs!$H$4</f>
        <v>0</v>
      </c>
      <c r="AG138">
        <f>Inputs!$I$5*ABS(D138-1)*Inputs!$H$5</f>
        <v>0</v>
      </c>
      <c r="AH138">
        <f>Inputs!$I$6*ABS(E138-1)*Inputs!$H$6</f>
        <v>0</v>
      </c>
      <c r="AI138">
        <f>Inputs!$I$7*ABS(F138-1)*Inputs!$H$7</f>
        <v>0</v>
      </c>
      <c r="AJ138">
        <f>Inputs!$I$8*ABS(G138-1)*Inputs!$H$8</f>
        <v>0</v>
      </c>
      <c r="AK138">
        <f>Inputs!$I$9*ABS(H138-1)*Inputs!$H$9</f>
        <v>1.3048927592764261E-2</v>
      </c>
      <c r="AL138">
        <f t="shared" si="20"/>
        <v>-2.4454724432284372E-2</v>
      </c>
      <c r="AN138" s="1">
        <f t="shared" si="21"/>
        <v>2.1892438215717136</v>
      </c>
      <c r="AO138">
        <f t="shared" si="17"/>
        <v>1.9885387369808778E-2</v>
      </c>
      <c r="AP138">
        <f t="shared" si="18"/>
        <v>3.612121237731468E-3</v>
      </c>
      <c r="AQ138" s="26">
        <f t="shared" si="22"/>
        <v>1.0105902579536845</v>
      </c>
      <c r="AR138">
        <f t="shared" si="23"/>
        <v>-2.2212768791042228E-4</v>
      </c>
    </row>
    <row r="139" spans="1:44" x14ac:dyDescent="0.25">
      <c r="A139">
        <v>1</v>
      </c>
      <c r="B139">
        <v>0</v>
      </c>
      <c r="C139">
        <v>1</v>
      </c>
      <c r="D139">
        <v>1</v>
      </c>
      <c r="E139">
        <v>0</v>
      </c>
      <c r="F139">
        <v>1</v>
      </c>
      <c r="G139">
        <v>1</v>
      </c>
      <c r="H139">
        <v>0</v>
      </c>
      <c r="J139">
        <f>(A139*Inputs!$E$2+ABS((A139-1))*(1-Inputs!$E$2))</f>
        <v>0.65</v>
      </c>
      <c r="K139">
        <f>(B139*Inputs!$E$3+ABS((B139-1))*(1-Inputs!$E$3))</f>
        <v>0.35</v>
      </c>
      <c r="L139">
        <f>(C139*Inputs!$E$4+ABS((C139-1))*(1-Inputs!$E$4))</f>
        <v>0.65</v>
      </c>
      <c r="M139">
        <f>(D139*Inputs!$E$5+ABS((D139-1))*(1-Inputs!$E$5))</f>
        <v>0.65</v>
      </c>
      <c r="N139">
        <f>(E139*Inputs!$E$6+ABS((E139-1))*(1-Inputs!$E$6))</f>
        <v>0.4</v>
      </c>
      <c r="O139">
        <f>(F139*Inputs!$E$7+ABS((F139-1))*(1-Inputs!$E$7))</f>
        <v>0.75</v>
      </c>
      <c r="P139">
        <f>(G139*Inputs!$E$8+ABS((G139-1))*(1-Inputs!$E$8))</f>
        <v>0.6</v>
      </c>
      <c r="Q139">
        <f>(H139*Inputs!$E$9+ABS((H139-1))*(1-Inputs!$E$9))</f>
        <v>0.35</v>
      </c>
      <c r="R139">
        <f t="shared" si="19"/>
        <v>6.0554812499999987E-3</v>
      </c>
      <c r="T139">
        <f>Inputs!$I$2*A139*Inputs!$G$2</f>
        <v>0.52958847736625514</v>
      </c>
      <c r="U139">
        <f>Inputs!$I$3*B139*Inputs!$G$3</f>
        <v>0</v>
      </c>
      <c r="V139">
        <f>Inputs!$I$4*C139*Inputs!$G$4</f>
        <v>0.1422264291528948</v>
      </c>
      <c r="W139">
        <f>Inputs!$I$5*D139*Inputs!$G$5</f>
        <v>0.20551679322687164</v>
      </c>
      <c r="X139">
        <f>Inputs!$I$6*E139*Inputs!$G$6</f>
        <v>0</v>
      </c>
      <c r="Y139">
        <f>Inputs!$I$7*F139*Inputs!$G$7</f>
        <v>0.19972733373941395</v>
      </c>
      <c r="Z139">
        <f>Inputs!$I$8*G139*Inputs!$G$8</f>
        <v>0.76006970051755651</v>
      </c>
      <c r="AA139">
        <f>Inputs!$I$9*H139*Inputs!$G$9</f>
        <v>0</v>
      </c>
      <c r="AB139">
        <f t="shared" si="16"/>
        <v>1.837128734002992</v>
      </c>
      <c r="AD139">
        <f>Inputs!$I$2*ABS(A139-1)*Inputs!$H$2</f>
        <v>0</v>
      </c>
      <c r="AE139">
        <f>Inputs!$I$3*ABS(B139-1)*Inputs!$H$3</f>
        <v>1.1405796839520112E-2</v>
      </c>
      <c r="AF139">
        <f>Inputs!$I$4*ABS(C139-1)*Inputs!$H$4</f>
        <v>0</v>
      </c>
      <c r="AG139">
        <f>Inputs!$I$5*ABS(D139-1)*Inputs!$H$5</f>
        <v>0</v>
      </c>
      <c r="AH139">
        <f>Inputs!$I$6*ABS(E139-1)*Inputs!$H$6</f>
        <v>6.4042485034184693E-2</v>
      </c>
      <c r="AI139">
        <f>Inputs!$I$7*ABS(F139-1)*Inputs!$H$7</f>
        <v>0</v>
      </c>
      <c r="AJ139">
        <f>Inputs!$I$8*ABS(G139-1)*Inputs!$H$8</f>
        <v>0</v>
      </c>
      <c r="AK139">
        <f>Inputs!$I$9*ABS(H139-1)*Inputs!$H$9</f>
        <v>1.3048927592764261E-2</v>
      </c>
      <c r="AL139">
        <f t="shared" si="20"/>
        <v>-8.8497209466469065E-2</v>
      </c>
      <c r="AN139" s="1">
        <f t="shared" si="21"/>
        <v>1.7486315245365229</v>
      </c>
      <c r="AO139">
        <f t="shared" si="17"/>
        <v>1.0588805409989827E-2</v>
      </c>
      <c r="AP139">
        <f t="shared" si="18"/>
        <v>2.1859873869479026E-4</v>
      </c>
      <c r="AQ139" s="26">
        <f t="shared" si="22"/>
        <v>1.0061414983695127</v>
      </c>
      <c r="AR139">
        <f t="shared" si="23"/>
        <v>-5.3589319260152583E-4</v>
      </c>
    </row>
    <row r="140" spans="1:44" x14ac:dyDescent="0.25">
      <c r="A140">
        <v>1</v>
      </c>
      <c r="B140">
        <v>0</v>
      </c>
      <c r="C140">
        <v>1</v>
      </c>
      <c r="D140">
        <v>0</v>
      </c>
      <c r="E140">
        <v>1</v>
      </c>
      <c r="F140">
        <v>1</v>
      </c>
      <c r="G140">
        <v>1</v>
      </c>
      <c r="H140">
        <v>0</v>
      </c>
      <c r="J140">
        <f>(A140*Inputs!$E$2+ABS((A140-1))*(1-Inputs!$E$2))</f>
        <v>0.65</v>
      </c>
      <c r="K140">
        <f>(B140*Inputs!$E$3+ABS((B140-1))*(1-Inputs!$E$3))</f>
        <v>0.35</v>
      </c>
      <c r="L140">
        <f>(C140*Inputs!$E$4+ABS((C140-1))*(1-Inputs!$E$4))</f>
        <v>0.65</v>
      </c>
      <c r="M140">
        <f>(D140*Inputs!$E$5+ABS((D140-1))*(1-Inputs!$E$5))</f>
        <v>0.35</v>
      </c>
      <c r="N140">
        <f>(E140*Inputs!$E$6+ABS((E140-1))*(1-Inputs!$E$6))</f>
        <v>0.6</v>
      </c>
      <c r="O140">
        <f>(F140*Inputs!$E$7+ABS((F140-1))*(1-Inputs!$E$7))</f>
        <v>0.75</v>
      </c>
      <c r="P140">
        <f>(G140*Inputs!$E$8+ABS((G140-1))*(1-Inputs!$E$8))</f>
        <v>0.6</v>
      </c>
      <c r="Q140">
        <f>(H140*Inputs!$E$9+ABS((H140-1))*(1-Inputs!$E$9))</f>
        <v>0.35</v>
      </c>
      <c r="R140">
        <f t="shared" si="19"/>
        <v>4.8909656249999977E-3</v>
      </c>
      <c r="T140">
        <f>Inputs!$I$2*A140*Inputs!$G$2</f>
        <v>0.52958847736625514</v>
      </c>
      <c r="U140">
        <f>Inputs!$I$3*B140*Inputs!$G$3</f>
        <v>0</v>
      </c>
      <c r="V140">
        <f>Inputs!$I$4*C140*Inputs!$G$4</f>
        <v>0.1422264291528948</v>
      </c>
      <c r="W140">
        <f>Inputs!$I$5*D140*Inputs!$G$5</f>
        <v>0</v>
      </c>
      <c r="X140">
        <f>Inputs!$I$6*E140*Inputs!$G$6</f>
        <v>0.37656981200100598</v>
      </c>
      <c r="Y140">
        <f>Inputs!$I$7*F140*Inputs!$G$7</f>
        <v>0.19972733373941395</v>
      </c>
      <c r="Z140">
        <f>Inputs!$I$8*G140*Inputs!$G$8</f>
        <v>0.76006970051755651</v>
      </c>
      <c r="AA140">
        <f>Inputs!$I$9*H140*Inputs!$G$9</f>
        <v>0</v>
      </c>
      <c r="AB140">
        <f t="shared" si="16"/>
        <v>2.0081817527771264</v>
      </c>
      <c r="AD140">
        <f>Inputs!$I$2*ABS(A140-1)*Inputs!$H$2</f>
        <v>0</v>
      </c>
      <c r="AE140">
        <f>Inputs!$I$3*ABS(B140-1)*Inputs!$H$3</f>
        <v>1.1405796839520112E-2</v>
      </c>
      <c r="AF140">
        <f>Inputs!$I$4*ABS(C140-1)*Inputs!$H$4</f>
        <v>0</v>
      </c>
      <c r="AG140">
        <f>Inputs!$I$5*ABS(D140-1)*Inputs!$H$5</f>
        <v>3.0032539984442563E-2</v>
      </c>
      <c r="AH140">
        <f>Inputs!$I$6*ABS(E140-1)*Inputs!$H$6</f>
        <v>0</v>
      </c>
      <c r="AI140">
        <f>Inputs!$I$7*ABS(F140-1)*Inputs!$H$7</f>
        <v>0</v>
      </c>
      <c r="AJ140">
        <f>Inputs!$I$8*ABS(G140-1)*Inputs!$H$8</f>
        <v>0</v>
      </c>
      <c r="AK140">
        <f>Inputs!$I$9*ABS(H140-1)*Inputs!$H$9</f>
        <v>1.3048927592764261E-2</v>
      </c>
      <c r="AL140">
        <f t="shared" si="20"/>
        <v>-5.4487264416726938E-2</v>
      </c>
      <c r="AN140" s="1">
        <f t="shared" si="21"/>
        <v>1.9536944883603995</v>
      </c>
      <c r="AO140">
        <f t="shared" si="17"/>
        <v>9.5554525843226726E-3</v>
      </c>
      <c r="AP140">
        <f t="shared" si="18"/>
        <v>7.6334927115884437E-4</v>
      </c>
      <c r="AQ140" s="26">
        <f t="shared" si="22"/>
        <v>1.0053112482972233</v>
      </c>
      <c r="AR140">
        <f t="shared" si="23"/>
        <v>-2.6649533726249701E-4</v>
      </c>
    </row>
    <row r="141" spans="1:44" x14ac:dyDescent="0.25">
      <c r="A141">
        <v>1</v>
      </c>
      <c r="B141">
        <v>0</v>
      </c>
      <c r="C141">
        <v>1</v>
      </c>
      <c r="D141">
        <v>0</v>
      </c>
      <c r="E141">
        <v>0</v>
      </c>
      <c r="F141">
        <v>1</v>
      </c>
      <c r="G141">
        <v>1</v>
      </c>
      <c r="H141">
        <v>0</v>
      </c>
      <c r="J141">
        <f>(A141*Inputs!$E$2+ABS((A141-1))*(1-Inputs!$E$2))</f>
        <v>0.65</v>
      </c>
      <c r="K141">
        <f>(B141*Inputs!$E$3+ABS((B141-1))*(1-Inputs!$E$3))</f>
        <v>0.35</v>
      </c>
      <c r="L141">
        <f>(C141*Inputs!$E$4+ABS((C141-1))*(1-Inputs!$E$4))</f>
        <v>0.65</v>
      </c>
      <c r="M141">
        <f>(D141*Inputs!$E$5+ABS((D141-1))*(1-Inputs!$E$5))</f>
        <v>0.35</v>
      </c>
      <c r="N141">
        <f>(E141*Inputs!$E$6+ABS((E141-1))*(1-Inputs!$E$6))</f>
        <v>0.4</v>
      </c>
      <c r="O141">
        <f>(F141*Inputs!$E$7+ABS((F141-1))*(1-Inputs!$E$7))</f>
        <v>0.75</v>
      </c>
      <c r="P141">
        <f>(G141*Inputs!$E$8+ABS((G141-1))*(1-Inputs!$E$8))</f>
        <v>0.6</v>
      </c>
      <c r="Q141">
        <f>(H141*Inputs!$E$9+ABS((H141-1))*(1-Inputs!$E$9))</f>
        <v>0.35</v>
      </c>
      <c r="R141">
        <f t="shared" si="19"/>
        <v>3.2606437499999997E-3</v>
      </c>
      <c r="T141">
        <f>Inputs!$I$2*A141*Inputs!$G$2</f>
        <v>0.52958847736625514</v>
      </c>
      <c r="U141">
        <f>Inputs!$I$3*B141*Inputs!$G$3</f>
        <v>0</v>
      </c>
      <c r="V141">
        <f>Inputs!$I$4*C141*Inputs!$G$4</f>
        <v>0.1422264291528948</v>
      </c>
      <c r="W141">
        <f>Inputs!$I$5*D141*Inputs!$G$5</f>
        <v>0</v>
      </c>
      <c r="X141">
        <f>Inputs!$I$6*E141*Inputs!$G$6</f>
        <v>0</v>
      </c>
      <c r="Y141">
        <f>Inputs!$I$7*F141*Inputs!$G$7</f>
        <v>0.19972733373941395</v>
      </c>
      <c r="Z141">
        <f>Inputs!$I$8*G141*Inputs!$G$8</f>
        <v>0.76006970051755651</v>
      </c>
      <c r="AA141">
        <f>Inputs!$I$9*H141*Inputs!$G$9</f>
        <v>0</v>
      </c>
      <c r="AB141">
        <f t="shared" si="16"/>
        <v>1.6316119407761205</v>
      </c>
      <c r="AD141">
        <f>Inputs!$I$2*ABS(A141-1)*Inputs!$H$2</f>
        <v>0</v>
      </c>
      <c r="AE141">
        <f>Inputs!$I$3*ABS(B141-1)*Inputs!$H$3</f>
        <v>1.1405796839520112E-2</v>
      </c>
      <c r="AF141">
        <f>Inputs!$I$4*ABS(C141-1)*Inputs!$H$4</f>
        <v>0</v>
      </c>
      <c r="AG141">
        <f>Inputs!$I$5*ABS(D141-1)*Inputs!$H$5</f>
        <v>3.0032539984442563E-2</v>
      </c>
      <c r="AH141">
        <f>Inputs!$I$6*ABS(E141-1)*Inputs!$H$6</f>
        <v>6.4042485034184693E-2</v>
      </c>
      <c r="AI141">
        <f>Inputs!$I$7*ABS(F141-1)*Inputs!$H$7</f>
        <v>0</v>
      </c>
      <c r="AJ141">
        <f>Inputs!$I$8*ABS(G141-1)*Inputs!$H$8</f>
        <v>0</v>
      </c>
      <c r="AK141">
        <f>Inputs!$I$9*ABS(H141-1)*Inputs!$H$9</f>
        <v>1.3048927592764261E-2</v>
      </c>
      <c r="AL141">
        <f t="shared" si="20"/>
        <v>-0.11852974945091162</v>
      </c>
      <c r="AN141" s="1">
        <f t="shared" si="21"/>
        <v>1.5130821913252088</v>
      </c>
      <c r="AO141">
        <f t="shared" si="17"/>
        <v>4.9336219903808459E-3</v>
      </c>
      <c r="AP141">
        <f t="shared" si="18"/>
        <v>6.7655274545330587E-6</v>
      </c>
      <c r="AQ141" s="26">
        <f t="shared" si="22"/>
        <v>1.0030092343891446</v>
      </c>
      <c r="AR141">
        <f t="shared" si="23"/>
        <v>-3.8648328673618088E-4</v>
      </c>
    </row>
    <row r="142" spans="1:44" x14ac:dyDescent="0.25">
      <c r="A142">
        <v>1</v>
      </c>
      <c r="B142">
        <v>0</v>
      </c>
      <c r="C142">
        <v>0</v>
      </c>
      <c r="D142">
        <v>1</v>
      </c>
      <c r="E142">
        <v>1</v>
      </c>
      <c r="F142">
        <v>1</v>
      </c>
      <c r="G142">
        <v>1</v>
      </c>
      <c r="H142">
        <v>0</v>
      </c>
      <c r="J142">
        <f>(A142*Inputs!$E$2+ABS((A142-1))*(1-Inputs!$E$2))</f>
        <v>0.65</v>
      </c>
      <c r="K142">
        <f>(B142*Inputs!$E$3+ABS((B142-1))*(1-Inputs!$E$3))</f>
        <v>0.35</v>
      </c>
      <c r="L142">
        <f>(C142*Inputs!$E$4+ABS((C142-1))*(1-Inputs!$E$4))</f>
        <v>0.35</v>
      </c>
      <c r="M142">
        <f>(D142*Inputs!$E$5+ABS((D142-1))*(1-Inputs!$E$5))</f>
        <v>0.65</v>
      </c>
      <c r="N142">
        <f>(E142*Inputs!$E$6+ABS((E142-1))*(1-Inputs!$E$6))</f>
        <v>0.6</v>
      </c>
      <c r="O142">
        <f>(F142*Inputs!$E$7+ABS((F142-1))*(1-Inputs!$E$7))</f>
        <v>0.75</v>
      </c>
      <c r="P142">
        <f>(G142*Inputs!$E$8+ABS((G142-1))*(1-Inputs!$E$8))</f>
        <v>0.6</v>
      </c>
      <c r="Q142">
        <f>(H142*Inputs!$E$9+ABS((H142-1))*(1-Inputs!$E$9))</f>
        <v>0.35</v>
      </c>
      <c r="R142">
        <f t="shared" si="19"/>
        <v>4.8909656250000003E-3</v>
      </c>
      <c r="T142">
        <f>Inputs!$I$2*A142*Inputs!$G$2</f>
        <v>0.52958847736625514</v>
      </c>
      <c r="U142">
        <f>Inputs!$I$3*B142*Inputs!$G$3</f>
        <v>0</v>
      </c>
      <c r="V142">
        <f>Inputs!$I$4*C142*Inputs!$G$4</f>
        <v>0</v>
      </c>
      <c r="W142">
        <f>Inputs!$I$5*D142*Inputs!$G$5</f>
        <v>0.20551679322687164</v>
      </c>
      <c r="X142">
        <f>Inputs!$I$6*E142*Inputs!$G$6</f>
        <v>0.37656981200100598</v>
      </c>
      <c r="Y142">
        <f>Inputs!$I$7*F142*Inputs!$G$7</f>
        <v>0.19972733373941395</v>
      </c>
      <c r="Z142">
        <f>Inputs!$I$8*G142*Inputs!$G$8</f>
        <v>0.76006970051755651</v>
      </c>
      <c r="AA142">
        <f>Inputs!$I$9*H142*Inputs!$G$9</f>
        <v>0</v>
      </c>
      <c r="AB142">
        <f t="shared" si="16"/>
        <v>2.071472116851103</v>
      </c>
      <c r="AD142">
        <f>Inputs!$I$2*ABS(A142-1)*Inputs!$H$2</f>
        <v>0</v>
      </c>
      <c r="AE142">
        <f>Inputs!$I$3*ABS(B142-1)*Inputs!$H$3</f>
        <v>1.1405796839520112E-2</v>
      </c>
      <c r="AF142">
        <f>Inputs!$I$4*ABS(C142-1)*Inputs!$H$4</f>
        <v>8.9678988679000853E-3</v>
      </c>
      <c r="AG142">
        <f>Inputs!$I$5*ABS(D142-1)*Inputs!$H$5</f>
        <v>0</v>
      </c>
      <c r="AH142">
        <f>Inputs!$I$6*ABS(E142-1)*Inputs!$H$6</f>
        <v>0</v>
      </c>
      <c r="AI142">
        <f>Inputs!$I$7*ABS(F142-1)*Inputs!$H$7</f>
        <v>0</v>
      </c>
      <c r="AJ142">
        <f>Inputs!$I$8*ABS(G142-1)*Inputs!$H$8</f>
        <v>0</v>
      </c>
      <c r="AK142">
        <f>Inputs!$I$9*ABS(H142-1)*Inputs!$H$9</f>
        <v>1.3048927592764261E-2</v>
      </c>
      <c r="AL142">
        <f t="shared" si="20"/>
        <v>-3.3422623300184459E-2</v>
      </c>
      <c r="AN142" s="1">
        <f t="shared" si="21"/>
        <v>2.0380494935509184</v>
      </c>
      <c r="AO142">
        <f t="shared" si="17"/>
        <v>9.9680300150062021E-3</v>
      </c>
      <c r="AP142">
        <f t="shared" si="18"/>
        <v>1.1241388850214871E-3</v>
      </c>
      <c r="AQ142" s="26">
        <f t="shared" si="22"/>
        <v>1.0054497137271801</v>
      </c>
      <c r="AR142">
        <f t="shared" si="23"/>
        <v>-1.6346890165852624E-4</v>
      </c>
    </row>
    <row r="143" spans="1:44" x14ac:dyDescent="0.25">
      <c r="A143">
        <v>1</v>
      </c>
      <c r="B143">
        <v>0</v>
      </c>
      <c r="C143">
        <v>0</v>
      </c>
      <c r="D143">
        <v>1</v>
      </c>
      <c r="E143">
        <v>0</v>
      </c>
      <c r="F143">
        <v>1</v>
      </c>
      <c r="G143">
        <v>1</v>
      </c>
      <c r="H143">
        <v>0</v>
      </c>
      <c r="J143">
        <f>(A143*Inputs!$E$2+ABS((A143-1))*(1-Inputs!$E$2))</f>
        <v>0.65</v>
      </c>
      <c r="K143">
        <f>(B143*Inputs!$E$3+ABS((B143-1))*(1-Inputs!$E$3))</f>
        <v>0.35</v>
      </c>
      <c r="L143">
        <f>(C143*Inputs!$E$4+ABS((C143-1))*(1-Inputs!$E$4))</f>
        <v>0.35</v>
      </c>
      <c r="M143">
        <f>(D143*Inputs!$E$5+ABS((D143-1))*(1-Inputs!$E$5))</f>
        <v>0.65</v>
      </c>
      <c r="N143">
        <f>(E143*Inputs!$E$6+ABS((E143-1))*(1-Inputs!$E$6))</f>
        <v>0.4</v>
      </c>
      <c r="O143">
        <f>(F143*Inputs!$E$7+ABS((F143-1))*(1-Inputs!$E$7))</f>
        <v>0.75</v>
      </c>
      <c r="P143">
        <f>(G143*Inputs!$E$8+ABS((G143-1))*(1-Inputs!$E$8))</f>
        <v>0.6</v>
      </c>
      <c r="Q143">
        <f>(H143*Inputs!$E$9+ABS((H143-1))*(1-Inputs!$E$9))</f>
        <v>0.35</v>
      </c>
      <c r="R143">
        <f t="shared" si="19"/>
        <v>3.2606437499999997E-3</v>
      </c>
      <c r="T143">
        <f>Inputs!$I$2*A143*Inputs!$G$2</f>
        <v>0.52958847736625514</v>
      </c>
      <c r="U143">
        <f>Inputs!$I$3*B143*Inputs!$G$3</f>
        <v>0</v>
      </c>
      <c r="V143">
        <f>Inputs!$I$4*C143*Inputs!$G$4</f>
        <v>0</v>
      </c>
      <c r="W143">
        <f>Inputs!$I$5*D143*Inputs!$G$5</f>
        <v>0.20551679322687164</v>
      </c>
      <c r="X143">
        <f>Inputs!$I$6*E143*Inputs!$G$6</f>
        <v>0</v>
      </c>
      <c r="Y143">
        <f>Inputs!$I$7*F143*Inputs!$G$7</f>
        <v>0.19972733373941395</v>
      </c>
      <c r="Z143">
        <f>Inputs!$I$8*G143*Inputs!$G$8</f>
        <v>0.76006970051755651</v>
      </c>
      <c r="AA143">
        <f>Inputs!$I$9*H143*Inputs!$G$9</f>
        <v>0</v>
      </c>
      <c r="AB143">
        <f t="shared" si="16"/>
        <v>1.6949023048500973</v>
      </c>
      <c r="AD143">
        <f>Inputs!$I$2*ABS(A143-1)*Inputs!$H$2</f>
        <v>0</v>
      </c>
      <c r="AE143">
        <f>Inputs!$I$3*ABS(B143-1)*Inputs!$H$3</f>
        <v>1.1405796839520112E-2</v>
      </c>
      <c r="AF143">
        <f>Inputs!$I$4*ABS(C143-1)*Inputs!$H$4</f>
        <v>8.9678988679000853E-3</v>
      </c>
      <c r="AG143">
        <f>Inputs!$I$5*ABS(D143-1)*Inputs!$H$5</f>
        <v>0</v>
      </c>
      <c r="AH143">
        <f>Inputs!$I$6*ABS(E143-1)*Inputs!$H$6</f>
        <v>6.4042485034184693E-2</v>
      </c>
      <c r="AI143">
        <f>Inputs!$I$7*ABS(F143-1)*Inputs!$H$7</f>
        <v>0</v>
      </c>
      <c r="AJ143">
        <f>Inputs!$I$8*ABS(G143-1)*Inputs!$H$8</f>
        <v>0</v>
      </c>
      <c r="AK143">
        <f>Inputs!$I$9*ABS(H143-1)*Inputs!$H$9</f>
        <v>1.3048927592764261E-2</v>
      </c>
      <c r="AL143">
        <f t="shared" si="20"/>
        <v>-9.7465108334369152E-2</v>
      </c>
      <c r="AN143" s="1">
        <f t="shared" si="21"/>
        <v>1.5974371965157281</v>
      </c>
      <c r="AO143">
        <f t="shared" si="17"/>
        <v>5.2086736108365303E-3</v>
      </c>
      <c r="AP143">
        <f t="shared" si="18"/>
        <v>4.9096841118349587E-6</v>
      </c>
      <c r="AQ143" s="26">
        <f t="shared" si="22"/>
        <v>1.0031172152828143</v>
      </c>
      <c r="AR143">
        <f t="shared" si="23"/>
        <v>-3.1779899633353368E-4</v>
      </c>
    </row>
    <row r="144" spans="1:44" x14ac:dyDescent="0.25">
      <c r="A144">
        <v>1</v>
      </c>
      <c r="B144">
        <v>0</v>
      </c>
      <c r="C144">
        <v>0</v>
      </c>
      <c r="D144">
        <v>0</v>
      </c>
      <c r="E144">
        <v>1</v>
      </c>
      <c r="F144">
        <v>1</v>
      </c>
      <c r="G144">
        <v>1</v>
      </c>
      <c r="H144">
        <v>0</v>
      </c>
      <c r="J144">
        <f>(A144*Inputs!$E$2+ABS((A144-1))*(1-Inputs!$E$2))</f>
        <v>0.65</v>
      </c>
      <c r="K144">
        <f>(B144*Inputs!$E$3+ABS((B144-1))*(1-Inputs!$E$3))</f>
        <v>0.35</v>
      </c>
      <c r="L144">
        <f>(C144*Inputs!$E$4+ABS((C144-1))*(1-Inputs!$E$4))</f>
        <v>0.35</v>
      </c>
      <c r="M144">
        <f>(D144*Inputs!$E$5+ABS((D144-1))*(1-Inputs!$E$5))</f>
        <v>0.35</v>
      </c>
      <c r="N144">
        <f>(E144*Inputs!$E$6+ABS((E144-1))*(1-Inputs!$E$6))</f>
        <v>0.6</v>
      </c>
      <c r="O144">
        <f>(F144*Inputs!$E$7+ABS((F144-1))*(1-Inputs!$E$7))</f>
        <v>0.75</v>
      </c>
      <c r="P144">
        <f>(G144*Inputs!$E$8+ABS((G144-1))*(1-Inputs!$E$8))</f>
        <v>0.6</v>
      </c>
      <c r="Q144">
        <f>(H144*Inputs!$E$9+ABS((H144-1))*(1-Inputs!$E$9))</f>
        <v>0.35</v>
      </c>
      <c r="R144">
        <f t="shared" si="19"/>
        <v>2.6335968749999993E-3</v>
      </c>
      <c r="T144">
        <f>Inputs!$I$2*A144*Inputs!$G$2</f>
        <v>0.52958847736625514</v>
      </c>
      <c r="U144">
        <f>Inputs!$I$3*B144*Inputs!$G$3</f>
        <v>0</v>
      </c>
      <c r="V144">
        <f>Inputs!$I$4*C144*Inputs!$G$4</f>
        <v>0</v>
      </c>
      <c r="W144">
        <f>Inputs!$I$5*D144*Inputs!$G$5</f>
        <v>0</v>
      </c>
      <c r="X144">
        <f>Inputs!$I$6*E144*Inputs!$G$6</f>
        <v>0.37656981200100598</v>
      </c>
      <c r="Y144">
        <f>Inputs!$I$7*F144*Inputs!$G$7</f>
        <v>0.19972733373941395</v>
      </c>
      <c r="Z144">
        <f>Inputs!$I$8*G144*Inputs!$G$8</f>
        <v>0.76006970051755651</v>
      </c>
      <c r="AA144">
        <f>Inputs!$I$9*H144*Inputs!$G$9</f>
        <v>0</v>
      </c>
      <c r="AB144">
        <f t="shared" si="16"/>
        <v>1.8659553236242314</v>
      </c>
      <c r="AD144">
        <f>Inputs!$I$2*ABS(A144-1)*Inputs!$H$2</f>
        <v>0</v>
      </c>
      <c r="AE144">
        <f>Inputs!$I$3*ABS(B144-1)*Inputs!$H$3</f>
        <v>1.1405796839520112E-2</v>
      </c>
      <c r="AF144">
        <f>Inputs!$I$4*ABS(C144-1)*Inputs!$H$4</f>
        <v>8.9678988679000853E-3</v>
      </c>
      <c r="AG144">
        <f>Inputs!$I$5*ABS(D144-1)*Inputs!$H$5</f>
        <v>3.0032539984442563E-2</v>
      </c>
      <c r="AH144">
        <f>Inputs!$I$6*ABS(E144-1)*Inputs!$H$6</f>
        <v>0</v>
      </c>
      <c r="AI144">
        <f>Inputs!$I$7*ABS(F144-1)*Inputs!$H$7</f>
        <v>0</v>
      </c>
      <c r="AJ144">
        <f>Inputs!$I$8*ABS(G144-1)*Inputs!$H$8</f>
        <v>0</v>
      </c>
      <c r="AK144">
        <f>Inputs!$I$9*ABS(H144-1)*Inputs!$H$9</f>
        <v>1.3048927592764261E-2</v>
      </c>
      <c r="AL144">
        <f t="shared" si="20"/>
        <v>-6.3455163284627011E-2</v>
      </c>
      <c r="AN144" s="1">
        <f t="shared" si="21"/>
        <v>1.8025001603396045</v>
      </c>
      <c r="AO144">
        <f t="shared" si="17"/>
        <v>4.7470587894573799E-3</v>
      </c>
      <c r="AP144">
        <f t="shared" si="18"/>
        <v>1.5662273244038347E-4</v>
      </c>
      <c r="AQ144" s="26">
        <f t="shared" si="22"/>
        <v>1.0027176391112111</v>
      </c>
      <c r="AR144">
        <f t="shared" si="23"/>
        <v>-1.6711531972900839E-4</v>
      </c>
    </row>
    <row r="145" spans="1:44" x14ac:dyDescent="0.25">
      <c r="A145">
        <v>1</v>
      </c>
      <c r="B145">
        <v>0</v>
      </c>
      <c r="C145">
        <v>0</v>
      </c>
      <c r="D145">
        <v>0</v>
      </c>
      <c r="E145">
        <v>0</v>
      </c>
      <c r="F145">
        <v>1</v>
      </c>
      <c r="G145">
        <v>1</v>
      </c>
      <c r="H145">
        <v>0</v>
      </c>
      <c r="J145">
        <f>(A145*Inputs!$E$2+ABS((A145-1))*(1-Inputs!$E$2))</f>
        <v>0.65</v>
      </c>
      <c r="K145">
        <f>(B145*Inputs!$E$3+ABS((B145-1))*(1-Inputs!$E$3))</f>
        <v>0.35</v>
      </c>
      <c r="L145">
        <f>(C145*Inputs!$E$4+ABS((C145-1))*(1-Inputs!$E$4))</f>
        <v>0.35</v>
      </c>
      <c r="M145">
        <f>(D145*Inputs!$E$5+ABS((D145-1))*(1-Inputs!$E$5))</f>
        <v>0.35</v>
      </c>
      <c r="N145">
        <f>(E145*Inputs!$E$6+ABS((E145-1))*(1-Inputs!$E$6))</f>
        <v>0.4</v>
      </c>
      <c r="O145">
        <f>(F145*Inputs!$E$7+ABS((F145-1))*(1-Inputs!$E$7))</f>
        <v>0.75</v>
      </c>
      <c r="P145">
        <f>(G145*Inputs!$E$8+ABS((G145-1))*(1-Inputs!$E$8))</f>
        <v>0.6</v>
      </c>
      <c r="Q145">
        <f>(H145*Inputs!$E$9+ABS((H145-1))*(1-Inputs!$E$9))</f>
        <v>0.35</v>
      </c>
      <c r="R145">
        <f t="shared" si="19"/>
        <v>1.7557312499999996E-3</v>
      </c>
      <c r="T145">
        <f>Inputs!$I$2*A145*Inputs!$G$2</f>
        <v>0.52958847736625514</v>
      </c>
      <c r="U145">
        <f>Inputs!$I$3*B145*Inputs!$G$3</f>
        <v>0</v>
      </c>
      <c r="V145">
        <f>Inputs!$I$4*C145*Inputs!$G$4</f>
        <v>0</v>
      </c>
      <c r="W145">
        <f>Inputs!$I$5*D145*Inputs!$G$5</f>
        <v>0</v>
      </c>
      <c r="X145">
        <f>Inputs!$I$6*E145*Inputs!$G$6</f>
        <v>0</v>
      </c>
      <c r="Y145">
        <f>Inputs!$I$7*F145*Inputs!$G$7</f>
        <v>0.19972733373941395</v>
      </c>
      <c r="Z145">
        <f>Inputs!$I$8*G145*Inputs!$G$8</f>
        <v>0.76006970051755651</v>
      </c>
      <c r="AA145">
        <f>Inputs!$I$9*H145*Inputs!$G$9</f>
        <v>0</v>
      </c>
      <c r="AB145">
        <f t="shared" si="16"/>
        <v>1.4893855116232255</v>
      </c>
      <c r="AD145">
        <f>Inputs!$I$2*ABS(A145-1)*Inputs!$H$2</f>
        <v>0</v>
      </c>
      <c r="AE145">
        <f>Inputs!$I$3*ABS(B145-1)*Inputs!$H$3</f>
        <v>1.1405796839520112E-2</v>
      </c>
      <c r="AF145">
        <f>Inputs!$I$4*ABS(C145-1)*Inputs!$H$4</f>
        <v>8.9678988679000853E-3</v>
      </c>
      <c r="AG145">
        <f>Inputs!$I$5*ABS(D145-1)*Inputs!$H$5</f>
        <v>3.0032539984442563E-2</v>
      </c>
      <c r="AH145">
        <f>Inputs!$I$6*ABS(E145-1)*Inputs!$H$6</f>
        <v>6.4042485034184693E-2</v>
      </c>
      <c r="AI145">
        <f>Inputs!$I$7*ABS(F145-1)*Inputs!$H$7</f>
        <v>0</v>
      </c>
      <c r="AJ145">
        <f>Inputs!$I$8*ABS(G145-1)*Inputs!$H$8</f>
        <v>0</v>
      </c>
      <c r="AK145">
        <f>Inputs!$I$9*ABS(H145-1)*Inputs!$H$9</f>
        <v>1.3048927592764261E-2</v>
      </c>
      <c r="AL145">
        <f t="shared" si="20"/>
        <v>-0.12749764831881172</v>
      </c>
      <c r="AN145" s="1">
        <f t="shared" si="21"/>
        <v>1.3618878633044138</v>
      </c>
      <c r="AO145">
        <f t="shared" si="17"/>
        <v>2.391109080599287E-3</v>
      </c>
      <c r="AP145">
        <f t="shared" si="18"/>
        <v>6.7962206325832908E-5</v>
      </c>
      <c r="AQ145" s="26">
        <f t="shared" si="22"/>
        <v>1.00151012204724</v>
      </c>
      <c r="AR145">
        <f t="shared" si="23"/>
        <v>-2.2385160545484764E-4</v>
      </c>
    </row>
    <row r="146" spans="1:44" x14ac:dyDescent="0.25">
      <c r="A146">
        <v>0</v>
      </c>
      <c r="B146">
        <v>1</v>
      </c>
      <c r="C146">
        <v>1</v>
      </c>
      <c r="D146">
        <v>1</v>
      </c>
      <c r="E146">
        <v>1</v>
      </c>
      <c r="F146">
        <v>1</v>
      </c>
      <c r="G146">
        <v>1</v>
      </c>
      <c r="H146">
        <v>0</v>
      </c>
      <c r="J146">
        <f>(A146*Inputs!$E$2+ABS((A146-1))*(1-Inputs!$E$2))</f>
        <v>0.35</v>
      </c>
      <c r="K146">
        <f>(B146*Inputs!$E$3+ABS((B146-1))*(1-Inputs!$E$3))</f>
        <v>0.65</v>
      </c>
      <c r="L146">
        <f>(C146*Inputs!$E$4+ABS((C146-1))*(1-Inputs!$E$4))</f>
        <v>0.65</v>
      </c>
      <c r="M146">
        <f>(D146*Inputs!$E$5+ABS((D146-1))*(1-Inputs!$E$5))</f>
        <v>0.65</v>
      </c>
      <c r="N146">
        <f>(E146*Inputs!$E$6+ABS((E146-1))*(1-Inputs!$E$6))</f>
        <v>0.6</v>
      </c>
      <c r="O146">
        <f>(F146*Inputs!$E$7+ABS((F146-1))*(1-Inputs!$E$7))</f>
        <v>0.75</v>
      </c>
      <c r="P146">
        <f>(G146*Inputs!$E$8+ABS((G146-1))*(1-Inputs!$E$8))</f>
        <v>0.6</v>
      </c>
      <c r="Q146">
        <f>(H146*Inputs!$E$9+ABS((H146-1))*(1-Inputs!$E$9))</f>
        <v>0.35</v>
      </c>
      <c r="R146">
        <f t="shared" si="19"/>
        <v>9.0832218749999968E-3</v>
      </c>
      <c r="T146">
        <f>Inputs!$I$2*A146*Inputs!$G$2</f>
        <v>0</v>
      </c>
      <c r="U146">
        <f>Inputs!$I$3*B146*Inputs!$G$3</f>
        <v>0.20645773829738062</v>
      </c>
      <c r="V146">
        <f>Inputs!$I$4*C146*Inputs!$G$4</f>
        <v>0.1422264291528948</v>
      </c>
      <c r="W146">
        <f>Inputs!$I$5*D146*Inputs!$G$5</f>
        <v>0.20551679322687164</v>
      </c>
      <c r="X146">
        <f>Inputs!$I$6*E146*Inputs!$G$6</f>
        <v>0.37656981200100598</v>
      </c>
      <c r="Y146">
        <f>Inputs!$I$7*F146*Inputs!$G$7</f>
        <v>0.19972733373941395</v>
      </c>
      <c r="Z146">
        <f>Inputs!$I$8*G146*Inputs!$G$8</f>
        <v>0.76006970051755651</v>
      </c>
      <c r="AA146">
        <f>Inputs!$I$9*H146*Inputs!$G$9</f>
        <v>0</v>
      </c>
      <c r="AB146">
        <f t="shared" si="16"/>
        <v>1.8905678069351235</v>
      </c>
      <c r="AD146">
        <f>Inputs!$I$2*ABS(A146-1)*Inputs!$H$2</f>
        <v>3.0082304526748989E-2</v>
      </c>
      <c r="AE146">
        <f>Inputs!$I$3*ABS(B146-1)*Inputs!$H$3</f>
        <v>0</v>
      </c>
      <c r="AF146">
        <f>Inputs!$I$4*ABS(C146-1)*Inputs!$H$4</f>
        <v>0</v>
      </c>
      <c r="AG146">
        <f>Inputs!$I$5*ABS(D146-1)*Inputs!$H$5</f>
        <v>0</v>
      </c>
      <c r="AH146">
        <f>Inputs!$I$6*ABS(E146-1)*Inputs!$H$6</f>
        <v>0</v>
      </c>
      <c r="AI146">
        <f>Inputs!$I$7*ABS(F146-1)*Inputs!$H$7</f>
        <v>0</v>
      </c>
      <c r="AJ146">
        <f>Inputs!$I$8*ABS(G146-1)*Inputs!$H$8</f>
        <v>0</v>
      </c>
      <c r="AK146">
        <f>Inputs!$I$9*ABS(H146-1)*Inputs!$H$9</f>
        <v>1.3048927592764261E-2</v>
      </c>
      <c r="AL146">
        <f t="shared" si="20"/>
        <v>-4.3131232119513252E-2</v>
      </c>
      <c r="AN146" s="1">
        <f t="shared" si="21"/>
        <v>1.8474365748156103</v>
      </c>
      <c r="AO146">
        <f t="shared" si="17"/>
        <v>1.6780676309040218E-2</v>
      </c>
      <c r="AP146">
        <f t="shared" si="18"/>
        <v>7.5760718678514691E-4</v>
      </c>
      <c r="AQ146" s="26">
        <f t="shared" si="22"/>
        <v>1.0095501718534017</v>
      </c>
      <c r="AR146">
        <f t="shared" si="23"/>
        <v>-3.9177055108366524E-4</v>
      </c>
    </row>
    <row r="147" spans="1:44" x14ac:dyDescent="0.25">
      <c r="A147">
        <v>0</v>
      </c>
      <c r="B147">
        <v>1</v>
      </c>
      <c r="C147">
        <v>1</v>
      </c>
      <c r="D147">
        <v>1</v>
      </c>
      <c r="E147">
        <v>0</v>
      </c>
      <c r="F147">
        <v>1</v>
      </c>
      <c r="G147">
        <v>1</v>
      </c>
      <c r="H147">
        <v>0</v>
      </c>
      <c r="J147">
        <f>(A147*Inputs!$E$2+ABS((A147-1))*(1-Inputs!$E$2))</f>
        <v>0.35</v>
      </c>
      <c r="K147">
        <f>(B147*Inputs!$E$3+ABS((B147-1))*(1-Inputs!$E$3))</f>
        <v>0.65</v>
      </c>
      <c r="L147">
        <f>(C147*Inputs!$E$4+ABS((C147-1))*(1-Inputs!$E$4))</f>
        <v>0.65</v>
      </c>
      <c r="M147">
        <f>(D147*Inputs!$E$5+ABS((D147-1))*(1-Inputs!$E$5))</f>
        <v>0.65</v>
      </c>
      <c r="N147">
        <f>(E147*Inputs!$E$6+ABS((E147-1))*(1-Inputs!$E$6))</f>
        <v>0.4</v>
      </c>
      <c r="O147">
        <f>(F147*Inputs!$E$7+ABS((F147-1))*(1-Inputs!$E$7))</f>
        <v>0.75</v>
      </c>
      <c r="P147">
        <f>(G147*Inputs!$E$8+ABS((G147-1))*(1-Inputs!$E$8))</f>
        <v>0.6</v>
      </c>
      <c r="Q147">
        <f>(H147*Inputs!$E$9+ABS((H147-1))*(1-Inputs!$E$9))</f>
        <v>0.35</v>
      </c>
      <c r="R147">
        <f t="shared" si="19"/>
        <v>6.0554812499999987E-3</v>
      </c>
      <c r="T147">
        <f>Inputs!$I$2*A147*Inputs!$G$2</f>
        <v>0</v>
      </c>
      <c r="U147">
        <f>Inputs!$I$3*B147*Inputs!$G$3</f>
        <v>0.20645773829738062</v>
      </c>
      <c r="V147">
        <f>Inputs!$I$4*C147*Inputs!$G$4</f>
        <v>0.1422264291528948</v>
      </c>
      <c r="W147">
        <f>Inputs!$I$5*D147*Inputs!$G$5</f>
        <v>0.20551679322687164</v>
      </c>
      <c r="X147">
        <f>Inputs!$I$6*E147*Inputs!$G$6</f>
        <v>0</v>
      </c>
      <c r="Y147">
        <f>Inputs!$I$7*F147*Inputs!$G$7</f>
        <v>0.19972733373941395</v>
      </c>
      <c r="Z147">
        <f>Inputs!$I$8*G147*Inputs!$G$8</f>
        <v>0.76006970051755651</v>
      </c>
      <c r="AA147">
        <f>Inputs!$I$9*H147*Inputs!$G$9</f>
        <v>0</v>
      </c>
      <c r="AB147">
        <f t="shared" si="16"/>
        <v>1.5139979949341176</v>
      </c>
      <c r="AD147">
        <f>Inputs!$I$2*ABS(A147-1)*Inputs!$H$2</f>
        <v>3.0082304526748989E-2</v>
      </c>
      <c r="AE147">
        <f>Inputs!$I$3*ABS(B147-1)*Inputs!$H$3</f>
        <v>0</v>
      </c>
      <c r="AF147">
        <f>Inputs!$I$4*ABS(C147-1)*Inputs!$H$4</f>
        <v>0</v>
      </c>
      <c r="AG147">
        <f>Inputs!$I$5*ABS(D147-1)*Inputs!$H$5</f>
        <v>0</v>
      </c>
      <c r="AH147">
        <f>Inputs!$I$6*ABS(E147-1)*Inputs!$H$6</f>
        <v>6.4042485034184693E-2</v>
      </c>
      <c r="AI147">
        <f>Inputs!$I$7*ABS(F147-1)*Inputs!$H$7</f>
        <v>0</v>
      </c>
      <c r="AJ147">
        <f>Inputs!$I$8*ABS(G147-1)*Inputs!$H$8</f>
        <v>0</v>
      </c>
      <c r="AK147">
        <f>Inputs!$I$9*ABS(H147-1)*Inputs!$H$9</f>
        <v>1.3048927592764261E-2</v>
      </c>
      <c r="AL147">
        <f t="shared" si="20"/>
        <v>-0.10717371715369793</v>
      </c>
      <c r="AN147" s="1">
        <f t="shared" si="21"/>
        <v>1.4068242777804196</v>
      </c>
      <c r="AO147">
        <f t="shared" si="17"/>
        <v>8.5189980361441205E-3</v>
      </c>
      <c r="AP147">
        <f t="shared" si="18"/>
        <v>1.3955453421830754E-4</v>
      </c>
      <c r="AQ147" s="26">
        <f t="shared" si="22"/>
        <v>1.005332747289897</v>
      </c>
      <c r="AR147">
        <f t="shared" si="23"/>
        <v>-6.4898843471702103E-4</v>
      </c>
    </row>
    <row r="148" spans="1:44" x14ac:dyDescent="0.25">
      <c r="A148">
        <v>0</v>
      </c>
      <c r="B148">
        <v>1</v>
      </c>
      <c r="C148">
        <v>1</v>
      </c>
      <c r="D148">
        <v>0</v>
      </c>
      <c r="E148">
        <v>1</v>
      </c>
      <c r="F148">
        <v>1</v>
      </c>
      <c r="G148">
        <v>1</v>
      </c>
      <c r="H148">
        <v>0</v>
      </c>
      <c r="J148">
        <f>(A148*Inputs!$E$2+ABS((A148-1))*(1-Inputs!$E$2))</f>
        <v>0.35</v>
      </c>
      <c r="K148">
        <f>(B148*Inputs!$E$3+ABS((B148-1))*(1-Inputs!$E$3))</f>
        <v>0.65</v>
      </c>
      <c r="L148">
        <f>(C148*Inputs!$E$4+ABS((C148-1))*(1-Inputs!$E$4))</f>
        <v>0.65</v>
      </c>
      <c r="M148">
        <f>(D148*Inputs!$E$5+ABS((D148-1))*(1-Inputs!$E$5))</f>
        <v>0.35</v>
      </c>
      <c r="N148">
        <f>(E148*Inputs!$E$6+ABS((E148-1))*(1-Inputs!$E$6))</f>
        <v>0.6</v>
      </c>
      <c r="O148">
        <f>(F148*Inputs!$E$7+ABS((F148-1))*(1-Inputs!$E$7))</f>
        <v>0.75</v>
      </c>
      <c r="P148">
        <f>(G148*Inputs!$E$8+ABS((G148-1))*(1-Inputs!$E$8))</f>
        <v>0.6</v>
      </c>
      <c r="Q148">
        <f>(H148*Inputs!$E$9+ABS((H148-1))*(1-Inputs!$E$9))</f>
        <v>0.35</v>
      </c>
      <c r="R148">
        <f t="shared" si="19"/>
        <v>4.8909656249999977E-3</v>
      </c>
      <c r="T148">
        <f>Inputs!$I$2*A148*Inputs!$G$2</f>
        <v>0</v>
      </c>
      <c r="U148">
        <f>Inputs!$I$3*B148*Inputs!$G$3</f>
        <v>0.20645773829738062</v>
      </c>
      <c r="V148">
        <f>Inputs!$I$4*C148*Inputs!$G$4</f>
        <v>0.1422264291528948</v>
      </c>
      <c r="W148">
        <f>Inputs!$I$5*D148*Inputs!$G$5</f>
        <v>0</v>
      </c>
      <c r="X148">
        <f>Inputs!$I$6*E148*Inputs!$G$6</f>
        <v>0.37656981200100598</v>
      </c>
      <c r="Y148">
        <f>Inputs!$I$7*F148*Inputs!$G$7</f>
        <v>0.19972733373941395</v>
      </c>
      <c r="Z148">
        <f>Inputs!$I$8*G148*Inputs!$G$8</f>
        <v>0.76006970051755651</v>
      </c>
      <c r="AA148">
        <f>Inputs!$I$9*H148*Inputs!$G$9</f>
        <v>0</v>
      </c>
      <c r="AB148">
        <f t="shared" si="16"/>
        <v>1.6850510137082519</v>
      </c>
      <c r="AD148">
        <f>Inputs!$I$2*ABS(A148-1)*Inputs!$H$2</f>
        <v>3.0082304526748989E-2</v>
      </c>
      <c r="AE148">
        <f>Inputs!$I$3*ABS(B148-1)*Inputs!$H$3</f>
        <v>0</v>
      </c>
      <c r="AF148">
        <f>Inputs!$I$4*ABS(C148-1)*Inputs!$H$4</f>
        <v>0</v>
      </c>
      <c r="AG148">
        <f>Inputs!$I$5*ABS(D148-1)*Inputs!$H$5</f>
        <v>3.0032539984442563E-2</v>
      </c>
      <c r="AH148">
        <f>Inputs!$I$6*ABS(E148-1)*Inputs!$H$6</f>
        <v>0</v>
      </c>
      <c r="AI148">
        <f>Inputs!$I$7*ABS(F148-1)*Inputs!$H$7</f>
        <v>0</v>
      </c>
      <c r="AJ148">
        <f>Inputs!$I$8*ABS(G148-1)*Inputs!$H$8</f>
        <v>0</v>
      </c>
      <c r="AK148">
        <f>Inputs!$I$9*ABS(H148-1)*Inputs!$H$9</f>
        <v>1.3048927592764261E-2</v>
      </c>
      <c r="AL148">
        <f t="shared" si="20"/>
        <v>-7.3163772103955804E-2</v>
      </c>
      <c r="AN148" s="1">
        <f t="shared" si="21"/>
        <v>1.6118872416042962</v>
      </c>
      <c r="AO148">
        <f t="shared" si="17"/>
        <v>7.8836850900626792E-3</v>
      </c>
      <c r="AP148">
        <f t="shared" si="18"/>
        <v>1.3870680840791898E-5</v>
      </c>
      <c r="AQ148" s="26">
        <f t="shared" si="22"/>
        <v>1.0047067262433016</v>
      </c>
      <c r="AR148">
        <f t="shared" si="23"/>
        <v>-3.5784149435578159E-4</v>
      </c>
    </row>
    <row r="149" spans="1:44" x14ac:dyDescent="0.25">
      <c r="A149">
        <v>0</v>
      </c>
      <c r="B149">
        <v>1</v>
      </c>
      <c r="C149">
        <v>1</v>
      </c>
      <c r="D149">
        <v>0</v>
      </c>
      <c r="E149">
        <v>0</v>
      </c>
      <c r="F149">
        <v>1</v>
      </c>
      <c r="G149">
        <v>1</v>
      </c>
      <c r="H149">
        <v>0</v>
      </c>
      <c r="J149">
        <f>(A149*Inputs!$E$2+ABS((A149-1))*(1-Inputs!$E$2))</f>
        <v>0.35</v>
      </c>
      <c r="K149">
        <f>(B149*Inputs!$E$3+ABS((B149-1))*(1-Inputs!$E$3))</f>
        <v>0.65</v>
      </c>
      <c r="L149">
        <f>(C149*Inputs!$E$4+ABS((C149-1))*(1-Inputs!$E$4))</f>
        <v>0.65</v>
      </c>
      <c r="M149">
        <f>(D149*Inputs!$E$5+ABS((D149-1))*(1-Inputs!$E$5))</f>
        <v>0.35</v>
      </c>
      <c r="N149">
        <f>(E149*Inputs!$E$6+ABS((E149-1))*(1-Inputs!$E$6))</f>
        <v>0.4</v>
      </c>
      <c r="O149">
        <f>(F149*Inputs!$E$7+ABS((F149-1))*(1-Inputs!$E$7))</f>
        <v>0.75</v>
      </c>
      <c r="P149">
        <f>(G149*Inputs!$E$8+ABS((G149-1))*(1-Inputs!$E$8))</f>
        <v>0.6</v>
      </c>
      <c r="Q149">
        <f>(H149*Inputs!$E$9+ABS((H149-1))*(1-Inputs!$E$9))</f>
        <v>0.35</v>
      </c>
      <c r="R149">
        <f t="shared" si="19"/>
        <v>3.2606437499999997E-3</v>
      </c>
      <c r="T149">
        <f>Inputs!$I$2*A149*Inputs!$G$2</f>
        <v>0</v>
      </c>
      <c r="U149">
        <f>Inputs!$I$3*B149*Inputs!$G$3</f>
        <v>0.20645773829738062</v>
      </c>
      <c r="V149">
        <f>Inputs!$I$4*C149*Inputs!$G$4</f>
        <v>0.1422264291528948</v>
      </c>
      <c r="W149">
        <f>Inputs!$I$5*D149*Inputs!$G$5</f>
        <v>0</v>
      </c>
      <c r="X149">
        <f>Inputs!$I$6*E149*Inputs!$G$6</f>
        <v>0</v>
      </c>
      <c r="Y149">
        <f>Inputs!$I$7*F149*Inputs!$G$7</f>
        <v>0.19972733373941395</v>
      </c>
      <c r="Z149">
        <f>Inputs!$I$8*G149*Inputs!$G$8</f>
        <v>0.76006970051755651</v>
      </c>
      <c r="AA149">
        <f>Inputs!$I$9*H149*Inputs!$G$9</f>
        <v>0</v>
      </c>
      <c r="AB149">
        <f t="shared" si="16"/>
        <v>1.308481201707246</v>
      </c>
      <c r="AD149">
        <f>Inputs!$I$2*ABS(A149-1)*Inputs!$H$2</f>
        <v>3.0082304526748989E-2</v>
      </c>
      <c r="AE149">
        <f>Inputs!$I$3*ABS(B149-1)*Inputs!$H$3</f>
        <v>0</v>
      </c>
      <c r="AF149">
        <f>Inputs!$I$4*ABS(C149-1)*Inputs!$H$4</f>
        <v>0</v>
      </c>
      <c r="AG149">
        <f>Inputs!$I$5*ABS(D149-1)*Inputs!$H$5</f>
        <v>3.0032539984442563E-2</v>
      </c>
      <c r="AH149">
        <f>Inputs!$I$6*ABS(E149-1)*Inputs!$H$6</f>
        <v>6.4042485034184693E-2</v>
      </c>
      <c r="AI149">
        <f>Inputs!$I$7*ABS(F149-1)*Inputs!$H$7</f>
        <v>0</v>
      </c>
      <c r="AJ149">
        <f>Inputs!$I$8*ABS(G149-1)*Inputs!$H$8</f>
        <v>0</v>
      </c>
      <c r="AK149">
        <f>Inputs!$I$9*ABS(H149-1)*Inputs!$H$9</f>
        <v>1.3048927592764261E-2</v>
      </c>
      <c r="AL149">
        <f t="shared" si="20"/>
        <v>-0.1372062571381405</v>
      </c>
      <c r="AN149" s="1">
        <f t="shared" si="21"/>
        <v>1.1712749445691055</v>
      </c>
      <c r="AO149">
        <f t="shared" si="17"/>
        <v>3.81911032754085E-3</v>
      </c>
      <c r="AP149">
        <f t="shared" si="18"/>
        <v>4.8924822158204564E-4</v>
      </c>
      <c r="AQ149" s="26">
        <f t="shared" si="22"/>
        <v>1.0025312226152998</v>
      </c>
      <c r="AR149">
        <f t="shared" si="23"/>
        <v>-4.4738072479837067E-4</v>
      </c>
    </row>
    <row r="150" spans="1:44" x14ac:dyDescent="0.25">
      <c r="A150">
        <v>0</v>
      </c>
      <c r="B150">
        <v>1</v>
      </c>
      <c r="C150">
        <v>0</v>
      </c>
      <c r="D150">
        <v>1</v>
      </c>
      <c r="E150">
        <v>1</v>
      </c>
      <c r="F150">
        <v>1</v>
      </c>
      <c r="G150">
        <v>1</v>
      </c>
      <c r="H150">
        <v>0</v>
      </c>
      <c r="J150">
        <f>(A150*Inputs!$E$2+ABS((A150-1))*(1-Inputs!$E$2))</f>
        <v>0.35</v>
      </c>
      <c r="K150">
        <f>(B150*Inputs!$E$3+ABS((B150-1))*(1-Inputs!$E$3))</f>
        <v>0.65</v>
      </c>
      <c r="L150">
        <f>(C150*Inputs!$E$4+ABS((C150-1))*(1-Inputs!$E$4))</f>
        <v>0.35</v>
      </c>
      <c r="M150">
        <f>(D150*Inputs!$E$5+ABS((D150-1))*(1-Inputs!$E$5))</f>
        <v>0.65</v>
      </c>
      <c r="N150">
        <f>(E150*Inputs!$E$6+ABS((E150-1))*(1-Inputs!$E$6))</f>
        <v>0.6</v>
      </c>
      <c r="O150">
        <f>(F150*Inputs!$E$7+ABS((F150-1))*(1-Inputs!$E$7))</f>
        <v>0.75</v>
      </c>
      <c r="P150">
        <f>(G150*Inputs!$E$8+ABS((G150-1))*(1-Inputs!$E$8))</f>
        <v>0.6</v>
      </c>
      <c r="Q150">
        <f>(H150*Inputs!$E$9+ABS((H150-1))*(1-Inputs!$E$9))</f>
        <v>0.35</v>
      </c>
      <c r="R150">
        <f t="shared" si="19"/>
        <v>4.8909656250000003E-3</v>
      </c>
      <c r="T150">
        <f>Inputs!$I$2*A150*Inputs!$G$2</f>
        <v>0</v>
      </c>
      <c r="U150">
        <f>Inputs!$I$3*B150*Inputs!$G$3</f>
        <v>0.20645773829738062</v>
      </c>
      <c r="V150">
        <f>Inputs!$I$4*C150*Inputs!$G$4</f>
        <v>0</v>
      </c>
      <c r="W150">
        <f>Inputs!$I$5*D150*Inputs!$G$5</f>
        <v>0.20551679322687164</v>
      </c>
      <c r="X150">
        <f>Inputs!$I$6*E150*Inputs!$G$6</f>
        <v>0.37656981200100598</v>
      </c>
      <c r="Y150">
        <f>Inputs!$I$7*F150*Inputs!$G$7</f>
        <v>0.19972733373941395</v>
      </c>
      <c r="Z150">
        <f>Inputs!$I$8*G150*Inputs!$G$8</f>
        <v>0.76006970051755651</v>
      </c>
      <c r="AA150">
        <f>Inputs!$I$9*H150*Inputs!$G$9</f>
        <v>0</v>
      </c>
      <c r="AB150">
        <f t="shared" si="16"/>
        <v>1.7483413777822285</v>
      </c>
      <c r="AD150">
        <f>Inputs!$I$2*ABS(A150-1)*Inputs!$H$2</f>
        <v>3.0082304526748989E-2</v>
      </c>
      <c r="AE150">
        <f>Inputs!$I$3*ABS(B150-1)*Inputs!$H$3</f>
        <v>0</v>
      </c>
      <c r="AF150">
        <f>Inputs!$I$4*ABS(C150-1)*Inputs!$H$4</f>
        <v>8.9678988679000853E-3</v>
      </c>
      <c r="AG150">
        <f>Inputs!$I$5*ABS(D150-1)*Inputs!$H$5</f>
        <v>0</v>
      </c>
      <c r="AH150">
        <f>Inputs!$I$6*ABS(E150-1)*Inputs!$H$6</f>
        <v>0</v>
      </c>
      <c r="AI150">
        <f>Inputs!$I$7*ABS(F150-1)*Inputs!$H$7</f>
        <v>0</v>
      </c>
      <c r="AJ150">
        <f>Inputs!$I$8*ABS(G150-1)*Inputs!$H$8</f>
        <v>0</v>
      </c>
      <c r="AK150">
        <f>Inputs!$I$9*ABS(H150-1)*Inputs!$H$9</f>
        <v>1.3048927592764261E-2</v>
      </c>
      <c r="AL150">
        <f t="shared" si="20"/>
        <v>-5.2099130987413339E-2</v>
      </c>
      <c r="AN150" s="1">
        <f t="shared" si="21"/>
        <v>1.6962422467948153</v>
      </c>
      <c r="AO150">
        <f t="shared" si="17"/>
        <v>8.2962625207462087E-3</v>
      </c>
      <c r="AP150">
        <f t="shared" si="18"/>
        <v>9.2616383392149498E-5</v>
      </c>
      <c r="AQ150" s="26">
        <f t="shared" si="22"/>
        <v>1.0048629343564113</v>
      </c>
      <c r="AR150">
        <f t="shared" si="23"/>
        <v>-2.5481505875181096E-4</v>
      </c>
    </row>
    <row r="151" spans="1:44" x14ac:dyDescent="0.25">
      <c r="A151">
        <v>0</v>
      </c>
      <c r="B151">
        <v>1</v>
      </c>
      <c r="C151">
        <v>0</v>
      </c>
      <c r="D151">
        <v>1</v>
      </c>
      <c r="E151">
        <v>0</v>
      </c>
      <c r="F151">
        <v>1</v>
      </c>
      <c r="G151">
        <v>1</v>
      </c>
      <c r="H151">
        <v>0</v>
      </c>
      <c r="J151">
        <f>(A151*Inputs!$E$2+ABS((A151-1))*(1-Inputs!$E$2))</f>
        <v>0.35</v>
      </c>
      <c r="K151">
        <f>(B151*Inputs!$E$3+ABS((B151-1))*(1-Inputs!$E$3))</f>
        <v>0.65</v>
      </c>
      <c r="L151">
        <f>(C151*Inputs!$E$4+ABS((C151-1))*(1-Inputs!$E$4))</f>
        <v>0.35</v>
      </c>
      <c r="M151">
        <f>(D151*Inputs!$E$5+ABS((D151-1))*(1-Inputs!$E$5))</f>
        <v>0.65</v>
      </c>
      <c r="N151">
        <f>(E151*Inputs!$E$6+ABS((E151-1))*(1-Inputs!$E$6))</f>
        <v>0.4</v>
      </c>
      <c r="O151">
        <f>(F151*Inputs!$E$7+ABS((F151-1))*(1-Inputs!$E$7))</f>
        <v>0.75</v>
      </c>
      <c r="P151">
        <f>(G151*Inputs!$E$8+ABS((G151-1))*(1-Inputs!$E$8))</f>
        <v>0.6</v>
      </c>
      <c r="Q151">
        <f>(H151*Inputs!$E$9+ABS((H151-1))*(1-Inputs!$E$9))</f>
        <v>0.35</v>
      </c>
      <c r="R151">
        <f t="shared" si="19"/>
        <v>3.2606437499999997E-3</v>
      </c>
      <c r="T151">
        <f>Inputs!$I$2*A151*Inputs!$G$2</f>
        <v>0</v>
      </c>
      <c r="U151">
        <f>Inputs!$I$3*B151*Inputs!$G$3</f>
        <v>0.20645773829738062</v>
      </c>
      <c r="V151">
        <f>Inputs!$I$4*C151*Inputs!$G$4</f>
        <v>0</v>
      </c>
      <c r="W151">
        <f>Inputs!$I$5*D151*Inputs!$G$5</f>
        <v>0.20551679322687164</v>
      </c>
      <c r="X151">
        <f>Inputs!$I$6*E151*Inputs!$G$6</f>
        <v>0</v>
      </c>
      <c r="Y151">
        <f>Inputs!$I$7*F151*Inputs!$G$7</f>
        <v>0.19972733373941395</v>
      </c>
      <c r="Z151">
        <f>Inputs!$I$8*G151*Inputs!$G$8</f>
        <v>0.76006970051755651</v>
      </c>
      <c r="AA151">
        <f>Inputs!$I$9*H151*Inputs!$G$9</f>
        <v>0</v>
      </c>
      <c r="AB151">
        <f t="shared" si="16"/>
        <v>1.3717715657812226</v>
      </c>
      <c r="AD151">
        <f>Inputs!$I$2*ABS(A151-1)*Inputs!$H$2</f>
        <v>3.0082304526748989E-2</v>
      </c>
      <c r="AE151">
        <f>Inputs!$I$3*ABS(B151-1)*Inputs!$H$3</f>
        <v>0</v>
      </c>
      <c r="AF151">
        <f>Inputs!$I$4*ABS(C151-1)*Inputs!$H$4</f>
        <v>8.9678988679000853E-3</v>
      </c>
      <c r="AG151">
        <f>Inputs!$I$5*ABS(D151-1)*Inputs!$H$5</f>
        <v>0</v>
      </c>
      <c r="AH151">
        <f>Inputs!$I$6*ABS(E151-1)*Inputs!$H$6</f>
        <v>6.4042485034184693E-2</v>
      </c>
      <c r="AI151">
        <f>Inputs!$I$7*ABS(F151-1)*Inputs!$H$7</f>
        <v>0</v>
      </c>
      <c r="AJ151">
        <f>Inputs!$I$8*ABS(G151-1)*Inputs!$H$8</f>
        <v>0</v>
      </c>
      <c r="AK151">
        <f>Inputs!$I$9*ABS(H151-1)*Inputs!$H$9</f>
        <v>1.3048927592764261E-2</v>
      </c>
      <c r="AL151">
        <f t="shared" si="20"/>
        <v>-0.11614161602159802</v>
      </c>
      <c r="AN151" s="1">
        <f t="shared" si="21"/>
        <v>1.2556299497596246</v>
      </c>
      <c r="AO151">
        <f t="shared" si="17"/>
        <v>4.0941619479965335E-3</v>
      </c>
      <c r="AP151">
        <f t="shared" si="18"/>
        <v>2.9936310403182371E-4</v>
      </c>
      <c r="AQ151" s="26">
        <f t="shared" si="22"/>
        <v>1.0026558236008942</v>
      </c>
      <c r="AR151">
        <f t="shared" si="23"/>
        <v>-3.7869643439572342E-4</v>
      </c>
    </row>
    <row r="152" spans="1:44" x14ac:dyDescent="0.25">
      <c r="A152">
        <v>0</v>
      </c>
      <c r="B152">
        <v>1</v>
      </c>
      <c r="C152">
        <v>0</v>
      </c>
      <c r="D152">
        <v>0</v>
      </c>
      <c r="E152">
        <v>1</v>
      </c>
      <c r="F152">
        <v>1</v>
      </c>
      <c r="G152">
        <v>1</v>
      </c>
      <c r="H152">
        <v>0</v>
      </c>
      <c r="J152">
        <f>(A152*Inputs!$E$2+ABS((A152-1))*(1-Inputs!$E$2))</f>
        <v>0.35</v>
      </c>
      <c r="K152">
        <f>(B152*Inputs!$E$3+ABS((B152-1))*(1-Inputs!$E$3))</f>
        <v>0.65</v>
      </c>
      <c r="L152">
        <f>(C152*Inputs!$E$4+ABS((C152-1))*(1-Inputs!$E$4))</f>
        <v>0.35</v>
      </c>
      <c r="M152">
        <f>(D152*Inputs!$E$5+ABS((D152-1))*(1-Inputs!$E$5))</f>
        <v>0.35</v>
      </c>
      <c r="N152">
        <f>(E152*Inputs!$E$6+ABS((E152-1))*(1-Inputs!$E$6))</f>
        <v>0.6</v>
      </c>
      <c r="O152">
        <f>(F152*Inputs!$E$7+ABS((F152-1))*(1-Inputs!$E$7))</f>
        <v>0.75</v>
      </c>
      <c r="P152">
        <f>(G152*Inputs!$E$8+ABS((G152-1))*(1-Inputs!$E$8))</f>
        <v>0.6</v>
      </c>
      <c r="Q152">
        <f>(H152*Inputs!$E$9+ABS((H152-1))*(1-Inputs!$E$9))</f>
        <v>0.35</v>
      </c>
      <c r="R152">
        <f t="shared" si="19"/>
        <v>2.6335968749999993E-3</v>
      </c>
      <c r="T152">
        <f>Inputs!$I$2*A152*Inputs!$G$2</f>
        <v>0</v>
      </c>
      <c r="U152">
        <f>Inputs!$I$3*B152*Inputs!$G$3</f>
        <v>0.20645773829738062</v>
      </c>
      <c r="V152">
        <f>Inputs!$I$4*C152*Inputs!$G$4</f>
        <v>0</v>
      </c>
      <c r="W152">
        <f>Inputs!$I$5*D152*Inputs!$G$5</f>
        <v>0</v>
      </c>
      <c r="X152">
        <f>Inputs!$I$6*E152*Inputs!$G$6</f>
        <v>0.37656981200100598</v>
      </c>
      <c r="Y152">
        <f>Inputs!$I$7*F152*Inputs!$G$7</f>
        <v>0.19972733373941395</v>
      </c>
      <c r="Z152">
        <f>Inputs!$I$8*G152*Inputs!$G$8</f>
        <v>0.76006970051755651</v>
      </c>
      <c r="AA152">
        <f>Inputs!$I$9*H152*Inputs!$G$9</f>
        <v>0</v>
      </c>
      <c r="AB152">
        <f t="shared" si="16"/>
        <v>1.542824584555357</v>
      </c>
      <c r="AD152">
        <f>Inputs!$I$2*ABS(A152-1)*Inputs!$H$2</f>
        <v>3.0082304526748989E-2</v>
      </c>
      <c r="AE152">
        <f>Inputs!$I$3*ABS(B152-1)*Inputs!$H$3</f>
        <v>0</v>
      </c>
      <c r="AF152">
        <f>Inputs!$I$4*ABS(C152-1)*Inputs!$H$4</f>
        <v>8.9678988679000853E-3</v>
      </c>
      <c r="AG152">
        <f>Inputs!$I$5*ABS(D152-1)*Inputs!$H$5</f>
        <v>3.0032539984442563E-2</v>
      </c>
      <c r="AH152">
        <f>Inputs!$I$6*ABS(E152-1)*Inputs!$H$6</f>
        <v>0</v>
      </c>
      <c r="AI152">
        <f>Inputs!$I$7*ABS(F152-1)*Inputs!$H$7</f>
        <v>0</v>
      </c>
      <c r="AJ152">
        <f>Inputs!$I$8*ABS(G152-1)*Inputs!$H$8</f>
        <v>0</v>
      </c>
      <c r="AK152">
        <f>Inputs!$I$9*ABS(H152-1)*Inputs!$H$9</f>
        <v>1.3048927592764261E-2</v>
      </c>
      <c r="AL152">
        <f t="shared" si="20"/>
        <v>-8.2131670971855891E-2</v>
      </c>
      <c r="AN152" s="1">
        <f t="shared" si="21"/>
        <v>1.4606929135835012</v>
      </c>
      <c r="AO152">
        <f t="shared" si="17"/>
        <v>3.8468762925481527E-3</v>
      </c>
      <c r="AP152">
        <f t="shared" si="18"/>
        <v>2.5262313086283786E-5</v>
      </c>
      <c r="AQ152" s="26">
        <f t="shared" si="22"/>
        <v>1.0023742178267387</v>
      </c>
      <c r="AR152">
        <f t="shared" si="23"/>
        <v>-2.1630171201000783E-4</v>
      </c>
    </row>
    <row r="153" spans="1:44" x14ac:dyDescent="0.25">
      <c r="A153">
        <v>0</v>
      </c>
      <c r="B153">
        <v>1</v>
      </c>
      <c r="C153">
        <v>0</v>
      </c>
      <c r="D153">
        <v>0</v>
      </c>
      <c r="E153">
        <v>0</v>
      </c>
      <c r="F153">
        <v>1</v>
      </c>
      <c r="G153">
        <v>1</v>
      </c>
      <c r="H153">
        <v>0</v>
      </c>
      <c r="J153">
        <f>(A153*Inputs!$E$2+ABS((A153-1))*(1-Inputs!$E$2))</f>
        <v>0.35</v>
      </c>
      <c r="K153">
        <f>(B153*Inputs!$E$3+ABS((B153-1))*(1-Inputs!$E$3))</f>
        <v>0.65</v>
      </c>
      <c r="L153">
        <f>(C153*Inputs!$E$4+ABS((C153-1))*(1-Inputs!$E$4))</f>
        <v>0.35</v>
      </c>
      <c r="M153">
        <f>(D153*Inputs!$E$5+ABS((D153-1))*(1-Inputs!$E$5))</f>
        <v>0.35</v>
      </c>
      <c r="N153">
        <f>(E153*Inputs!$E$6+ABS((E153-1))*(1-Inputs!$E$6))</f>
        <v>0.4</v>
      </c>
      <c r="O153">
        <f>(F153*Inputs!$E$7+ABS((F153-1))*(1-Inputs!$E$7))</f>
        <v>0.75</v>
      </c>
      <c r="P153">
        <f>(G153*Inputs!$E$8+ABS((G153-1))*(1-Inputs!$E$8))</f>
        <v>0.6</v>
      </c>
      <c r="Q153">
        <f>(H153*Inputs!$E$9+ABS((H153-1))*(1-Inputs!$E$9))</f>
        <v>0.35</v>
      </c>
      <c r="R153">
        <f t="shared" si="19"/>
        <v>1.7557312499999996E-3</v>
      </c>
      <c r="T153">
        <f>Inputs!$I$2*A153*Inputs!$G$2</f>
        <v>0</v>
      </c>
      <c r="U153">
        <f>Inputs!$I$3*B153*Inputs!$G$3</f>
        <v>0.20645773829738062</v>
      </c>
      <c r="V153">
        <f>Inputs!$I$4*C153*Inputs!$G$4</f>
        <v>0</v>
      </c>
      <c r="W153">
        <f>Inputs!$I$5*D153*Inputs!$G$5</f>
        <v>0</v>
      </c>
      <c r="X153">
        <f>Inputs!$I$6*E153*Inputs!$G$6</f>
        <v>0</v>
      </c>
      <c r="Y153">
        <f>Inputs!$I$7*F153*Inputs!$G$7</f>
        <v>0.19972733373941395</v>
      </c>
      <c r="Z153">
        <f>Inputs!$I$8*G153*Inputs!$G$8</f>
        <v>0.76006970051755651</v>
      </c>
      <c r="AA153">
        <f>Inputs!$I$9*H153*Inputs!$G$9</f>
        <v>0</v>
      </c>
      <c r="AB153">
        <f t="shared" si="16"/>
        <v>1.1662547725543511</v>
      </c>
      <c r="AD153">
        <f>Inputs!$I$2*ABS(A153-1)*Inputs!$H$2</f>
        <v>3.0082304526748989E-2</v>
      </c>
      <c r="AE153">
        <f>Inputs!$I$3*ABS(B153-1)*Inputs!$H$3</f>
        <v>0</v>
      </c>
      <c r="AF153">
        <f>Inputs!$I$4*ABS(C153-1)*Inputs!$H$4</f>
        <v>8.9678988679000853E-3</v>
      </c>
      <c r="AG153">
        <f>Inputs!$I$5*ABS(D153-1)*Inputs!$H$5</f>
        <v>3.0032539984442563E-2</v>
      </c>
      <c r="AH153">
        <f>Inputs!$I$6*ABS(E153-1)*Inputs!$H$6</f>
        <v>6.4042485034184693E-2</v>
      </c>
      <c r="AI153">
        <f>Inputs!$I$7*ABS(F153-1)*Inputs!$H$7</f>
        <v>0</v>
      </c>
      <c r="AJ153">
        <f>Inputs!$I$8*ABS(G153-1)*Inputs!$H$8</f>
        <v>0</v>
      </c>
      <c r="AK153">
        <f>Inputs!$I$9*ABS(H153-1)*Inputs!$H$9</f>
        <v>1.3048927592764261E-2</v>
      </c>
      <c r="AL153">
        <f t="shared" si="20"/>
        <v>-0.14617415600604061</v>
      </c>
      <c r="AN153" s="1">
        <f t="shared" si="21"/>
        <v>1.0200806165483105</v>
      </c>
      <c r="AO153">
        <f t="shared" si="17"/>
        <v>1.7909874159931355E-3</v>
      </c>
      <c r="AP153">
        <f t="shared" si="18"/>
        <v>5.0923056370849715E-4</v>
      </c>
      <c r="AQ153" s="26">
        <f t="shared" si="22"/>
        <v>1.0012352826748951</v>
      </c>
      <c r="AR153">
        <f t="shared" si="23"/>
        <v>-2.5664253364218064E-4</v>
      </c>
    </row>
    <row r="154" spans="1:44" x14ac:dyDescent="0.25">
      <c r="A154">
        <v>0</v>
      </c>
      <c r="B154">
        <v>0</v>
      </c>
      <c r="C154">
        <v>1</v>
      </c>
      <c r="D154">
        <v>1</v>
      </c>
      <c r="E154">
        <v>1</v>
      </c>
      <c r="F154">
        <v>1</v>
      </c>
      <c r="G154">
        <v>1</v>
      </c>
      <c r="H154">
        <v>0</v>
      </c>
      <c r="J154">
        <f>(A154*Inputs!$E$2+ABS((A154-1))*(1-Inputs!$E$2))</f>
        <v>0.35</v>
      </c>
      <c r="K154">
        <f>(B154*Inputs!$E$3+ABS((B154-1))*(1-Inputs!$E$3))</f>
        <v>0.35</v>
      </c>
      <c r="L154">
        <f>(C154*Inputs!$E$4+ABS((C154-1))*(1-Inputs!$E$4))</f>
        <v>0.65</v>
      </c>
      <c r="M154">
        <f>(D154*Inputs!$E$5+ABS((D154-1))*(1-Inputs!$E$5))</f>
        <v>0.65</v>
      </c>
      <c r="N154">
        <f>(E154*Inputs!$E$6+ABS((E154-1))*(1-Inputs!$E$6))</f>
        <v>0.6</v>
      </c>
      <c r="O154">
        <f>(F154*Inputs!$E$7+ABS((F154-1))*(1-Inputs!$E$7))</f>
        <v>0.75</v>
      </c>
      <c r="P154">
        <f>(G154*Inputs!$E$8+ABS((G154-1))*(1-Inputs!$E$8))</f>
        <v>0.6</v>
      </c>
      <c r="Q154">
        <f>(H154*Inputs!$E$9+ABS((H154-1))*(1-Inputs!$E$9))</f>
        <v>0.35</v>
      </c>
      <c r="R154">
        <f t="shared" si="19"/>
        <v>4.8909656250000003E-3</v>
      </c>
      <c r="T154">
        <f>Inputs!$I$2*A154*Inputs!$G$2</f>
        <v>0</v>
      </c>
      <c r="U154">
        <f>Inputs!$I$3*B154*Inputs!$G$3</f>
        <v>0</v>
      </c>
      <c r="V154">
        <f>Inputs!$I$4*C154*Inputs!$G$4</f>
        <v>0.1422264291528948</v>
      </c>
      <c r="W154">
        <f>Inputs!$I$5*D154*Inputs!$G$5</f>
        <v>0.20551679322687164</v>
      </c>
      <c r="X154">
        <f>Inputs!$I$6*E154*Inputs!$G$6</f>
        <v>0.37656981200100598</v>
      </c>
      <c r="Y154">
        <f>Inputs!$I$7*F154*Inputs!$G$7</f>
        <v>0.19972733373941395</v>
      </c>
      <c r="Z154">
        <f>Inputs!$I$8*G154*Inputs!$G$8</f>
        <v>0.76006970051755651</v>
      </c>
      <c r="AA154">
        <f>Inputs!$I$9*H154*Inputs!$G$9</f>
        <v>0</v>
      </c>
      <c r="AB154">
        <f t="shared" si="16"/>
        <v>1.684110068637743</v>
      </c>
      <c r="AD154">
        <f>Inputs!$I$2*ABS(A154-1)*Inputs!$H$2</f>
        <v>3.0082304526748989E-2</v>
      </c>
      <c r="AE154">
        <f>Inputs!$I$3*ABS(B154-1)*Inputs!$H$3</f>
        <v>1.1405796839520112E-2</v>
      </c>
      <c r="AF154">
        <f>Inputs!$I$4*ABS(C154-1)*Inputs!$H$4</f>
        <v>0</v>
      </c>
      <c r="AG154">
        <f>Inputs!$I$5*ABS(D154-1)*Inputs!$H$5</f>
        <v>0</v>
      </c>
      <c r="AH154">
        <f>Inputs!$I$6*ABS(E154-1)*Inputs!$H$6</f>
        <v>0</v>
      </c>
      <c r="AI154">
        <f>Inputs!$I$7*ABS(F154-1)*Inputs!$H$7</f>
        <v>0</v>
      </c>
      <c r="AJ154">
        <f>Inputs!$I$8*ABS(G154-1)*Inputs!$H$8</f>
        <v>0</v>
      </c>
      <c r="AK154">
        <f>Inputs!$I$9*ABS(H154-1)*Inputs!$H$9</f>
        <v>1.3048927592764261E-2</v>
      </c>
      <c r="AL154">
        <f t="shared" si="20"/>
        <v>-5.4537028959033361E-2</v>
      </c>
      <c r="AN154" s="1">
        <f t="shared" si="21"/>
        <v>1.6295730396787096</v>
      </c>
      <c r="AO154">
        <f t="shared" si="17"/>
        <v>7.9701857204953295E-3</v>
      </c>
      <c r="AP154">
        <f t="shared" si="18"/>
        <v>2.4613508886498946E-5</v>
      </c>
      <c r="AQ154" s="26">
        <f t="shared" si="22"/>
        <v>1.0047398885777128</v>
      </c>
      <c r="AR154">
        <f t="shared" si="23"/>
        <v>-2.6673873392826173E-4</v>
      </c>
    </row>
    <row r="155" spans="1:44" x14ac:dyDescent="0.25">
      <c r="A155">
        <v>0</v>
      </c>
      <c r="B155">
        <v>0</v>
      </c>
      <c r="C155">
        <v>1</v>
      </c>
      <c r="D155">
        <v>1</v>
      </c>
      <c r="E155">
        <v>0</v>
      </c>
      <c r="F155">
        <v>1</v>
      </c>
      <c r="G155">
        <v>1</v>
      </c>
      <c r="H155">
        <v>0</v>
      </c>
      <c r="J155">
        <f>(A155*Inputs!$E$2+ABS((A155-1))*(1-Inputs!$E$2))</f>
        <v>0.35</v>
      </c>
      <c r="K155">
        <f>(B155*Inputs!$E$3+ABS((B155-1))*(1-Inputs!$E$3))</f>
        <v>0.35</v>
      </c>
      <c r="L155">
        <f>(C155*Inputs!$E$4+ABS((C155-1))*(1-Inputs!$E$4))</f>
        <v>0.65</v>
      </c>
      <c r="M155">
        <f>(D155*Inputs!$E$5+ABS((D155-1))*(1-Inputs!$E$5))</f>
        <v>0.65</v>
      </c>
      <c r="N155">
        <f>(E155*Inputs!$E$6+ABS((E155-1))*(1-Inputs!$E$6))</f>
        <v>0.4</v>
      </c>
      <c r="O155">
        <f>(F155*Inputs!$E$7+ABS((F155-1))*(1-Inputs!$E$7))</f>
        <v>0.75</v>
      </c>
      <c r="P155">
        <f>(G155*Inputs!$E$8+ABS((G155-1))*(1-Inputs!$E$8))</f>
        <v>0.6</v>
      </c>
      <c r="Q155">
        <f>(H155*Inputs!$E$9+ABS((H155-1))*(1-Inputs!$E$9))</f>
        <v>0.35</v>
      </c>
      <c r="R155">
        <f t="shared" si="19"/>
        <v>3.2606437499999997E-3</v>
      </c>
      <c r="T155">
        <f>Inputs!$I$2*A155*Inputs!$G$2</f>
        <v>0</v>
      </c>
      <c r="U155">
        <f>Inputs!$I$3*B155*Inputs!$G$3</f>
        <v>0</v>
      </c>
      <c r="V155">
        <f>Inputs!$I$4*C155*Inputs!$G$4</f>
        <v>0.1422264291528948</v>
      </c>
      <c r="W155">
        <f>Inputs!$I$5*D155*Inputs!$G$5</f>
        <v>0.20551679322687164</v>
      </c>
      <c r="X155">
        <f>Inputs!$I$6*E155*Inputs!$G$6</f>
        <v>0</v>
      </c>
      <c r="Y155">
        <f>Inputs!$I$7*F155*Inputs!$G$7</f>
        <v>0.19972733373941395</v>
      </c>
      <c r="Z155">
        <f>Inputs!$I$8*G155*Inputs!$G$8</f>
        <v>0.76006970051755651</v>
      </c>
      <c r="AA155">
        <f>Inputs!$I$9*H155*Inputs!$G$9</f>
        <v>0</v>
      </c>
      <c r="AB155">
        <f t="shared" si="16"/>
        <v>1.3075402566367369</v>
      </c>
      <c r="AD155">
        <f>Inputs!$I$2*ABS(A155-1)*Inputs!$H$2</f>
        <v>3.0082304526748989E-2</v>
      </c>
      <c r="AE155">
        <f>Inputs!$I$3*ABS(B155-1)*Inputs!$H$3</f>
        <v>1.1405796839520112E-2</v>
      </c>
      <c r="AF155">
        <f>Inputs!$I$4*ABS(C155-1)*Inputs!$H$4</f>
        <v>0</v>
      </c>
      <c r="AG155">
        <f>Inputs!$I$5*ABS(D155-1)*Inputs!$H$5</f>
        <v>0</v>
      </c>
      <c r="AH155">
        <f>Inputs!$I$6*ABS(E155-1)*Inputs!$H$6</f>
        <v>6.4042485034184693E-2</v>
      </c>
      <c r="AI155">
        <f>Inputs!$I$7*ABS(F155-1)*Inputs!$H$7</f>
        <v>0</v>
      </c>
      <c r="AJ155">
        <f>Inputs!$I$8*ABS(G155-1)*Inputs!$H$8</f>
        <v>0</v>
      </c>
      <c r="AK155">
        <f>Inputs!$I$9*ABS(H155-1)*Inputs!$H$9</f>
        <v>1.3048927592764261E-2</v>
      </c>
      <c r="AL155">
        <f t="shared" si="20"/>
        <v>-0.11857951399321805</v>
      </c>
      <c r="AN155" s="1">
        <f t="shared" si="21"/>
        <v>1.1889607426435189</v>
      </c>
      <c r="AO155">
        <f t="shared" si="17"/>
        <v>3.8767774144959481E-3</v>
      </c>
      <c r="AP155">
        <f t="shared" si="18"/>
        <v>4.4559245165262266E-4</v>
      </c>
      <c r="AQ155" s="26">
        <f t="shared" si="22"/>
        <v>1.0025577414280553</v>
      </c>
      <c r="AR155">
        <f t="shared" si="23"/>
        <v>-3.8664555118002395E-4</v>
      </c>
    </row>
    <row r="156" spans="1:44" x14ac:dyDescent="0.25">
      <c r="A156">
        <v>0</v>
      </c>
      <c r="B156">
        <v>0</v>
      </c>
      <c r="C156">
        <v>1</v>
      </c>
      <c r="D156">
        <v>0</v>
      </c>
      <c r="E156">
        <v>1</v>
      </c>
      <c r="F156">
        <v>1</v>
      </c>
      <c r="G156">
        <v>1</v>
      </c>
      <c r="H156">
        <v>0</v>
      </c>
      <c r="J156">
        <f>(A156*Inputs!$E$2+ABS((A156-1))*(1-Inputs!$E$2))</f>
        <v>0.35</v>
      </c>
      <c r="K156">
        <f>(B156*Inputs!$E$3+ABS((B156-1))*(1-Inputs!$E$3))</f>
        <v>0.35</v>
      </c>
      <c r="L156">
        <f>(C156*Inputs!$E$4+ABS((C156-1))*(1-Inputs!$E$4))</f>
        <v>0.65</v>
      </c>
      <c r="M156">
        <f>(D156*Inputs!$E$5+ABS((D156-1))*(1-Inputs!$E$5))</f>
        <v>0.35</v>
      </c>
      <c r="N156">
        <f>(E156*Inputs!$E$6+ABS((E156-1))*(1-Inputs!$E$6))</f>
        <v>0.6</v>
      </c>
      <c r="O156">
        <f>(F156*Inputs!$E$7+ABS((F156-1))*(1-Inputs!$E$7))</f>
        <v>0.75</v>
      </c>
      <c r="P156">
        <f>(G156*Inputs!$E$8+ABS((G156-1))*(1-Inputs!$E$8))</f>
        <v>0.6</v>
      </c>
      <c r="Q156">
        <f>(H156*Inputs!$E$9+ABS((H156-1))*(1-Inputs!$E$9))</f>
        <v>0.35</v>
      </c>
      <c r="R156">
        <f t="shared" si="19"/>
        <v>2.6335968749999993E-3</v>
      </c>
      <c r="T156">
        <f>Inputs!$I$2*A156*Inputs!$G$2</f>
        <v>0</v>
      </c>
      <c r="U156">
        <f>Inputs!$I$3*B156*Inputs!$G$3</f>
        <v>0</v>
      </c>
      <c r="V156">
        <f>Inputs!$I$4*C156*Inputs!$G$4</f>
        <v>0.1422264291528948</v>
      </c>
      <c r="W156">
        <f>Inputs!$I$5*D156*Inputs!$G$5</f>
        <v>0</v>
      </c>
      <c r="X156">
        <f>Inputs!$I$6*E156*Inputs!$G$6</f>
        <v>0.37656981200100598</v>
      </c>
      <c r="Y156">
        <f>Inputs!$I$7*F156*Inputs!$G$7</f>
        <v>0.19972733373941395</v>
      </c>
      <c r="Z156">
        <f>Inputs!$I$8*G156*Inputs!$G$8</f>
        <v>0.76006970051755651</v>
      </c>
      <c r="AA156">
        <f>Inputs!$I$9*H156*Inputs!$G$9</f>
        <v>0</v>
      </c>
      <c r="AB156">
        <f t="shared" si="16"/>
        <v>1.4785932754108713</v>
      </c>
      <c r="AD156">
        <f>Inputs!$I$2*ABS(A156-1)*Inputs!$H$2</f>
        <v>3.0082304526748989E-2</v>
      </c>
      <c r="AE156">
        <f>Inputs!$I$3*ABS(B156-1)*Inputs!$H$3</f>
        <v>1.1405796839520112E-2</v>
      </c>
      <c r="AF156">
        <f>Inputs!$I$4*ABS(C156-1)*Inputs!$H$4</f>
        <v>0</v>
      </c>
      <c r="AG156">
        <f>Inputs!$I$5*ABS(D156-1)*Inputs!$H$5</f>
        <v>3.0032539984442563E-2</v>
      </c>
      <c r="AH156">
        <f>Inputs!$I$6*ABS(E156-1)*Inputs!$H$6</f>
        <v>0</v>
      </c>
      <c r="AI156">
        <f>Inputs!$I$7*ABS(F156-1)*Inputs!$H$7</f>
        <v>0</v>
      </c>
      <c r="AJ156">
        <f>Inputs!$I$8*ABS(G156-1)*Inputs!$H$8</f>
        <v>0</v>
      </c>
      <c r="AK156">
        <f>Inputs!$I$9*ABS(H156-1)*Inputs!$H$9</f>
        <v>1.3048927592764261E-2</v>
      </c>
      <c r="AL156">
        <f t="shared" si="20"/>
        <v>-8.456956894347592E-2</v>
      </c>
      <c r="AN156" s="1">
        <f t="shared" si="21"/>
        <v>1.3940237064673953</v>
      </c>
      <c r="AO156">
        <f t="shared" si="17"/>
        <v>3.6712964770284485E-3</v>
      </c>
      <c r="AP156">
        <f t="shared" si="18"/>
        <v>7.1360797602227938E-5</v>
      </c>
      <c r="AQ156" s="26">
        <f t="shared" si="22"/>
        <v>1.0023017104516538</v>
      </c>
      <c r="AR156">
        <f t="shared" si="23"/>
        <v>-2.2272215248963516E-4</v>
      </c>
    </row>
    <row r="157" spans="1:44" x14ac:dyDescent="0.25">
      <c r="A157">
        <v>0</v>
      </c>
      <c r="B157">
        <v>0</v>
      </c>
      <c r="C157">
        <v>1</v>
      </c>
      <c r="D157">
        <v>0</v>
      </c>
      <c r="E157">
        <v>0</v>
      </c>
      <c r="F157">
        <v>1</v>
      </c>
      <c r="G157">
        <v>1</v>
      </c>
      <c r="H157">
        <v>0</v>
      </c>
      <c r="J157">
        <f>(A157*Inputs!$E$2+ABS((A157-1))*(1-Inputs!$E$2))</f>
        <v>0.35</v>
      </c>
      <c r="K157">
        <f>(B157*Inputs!$E$3+ABS((B157-1))*(1-Inputs!$E$3))</f>
        <v>0.35</v>
      </c>
      <c r="L157">
        <f>(C157*Inputs!$E$4+ABS((C157-1))*(1-Inputs!$E$4))</f>
        <v>0.65</v>
      </c>
      <c r="M157">
        <f>(D157*Inputs!$E$5+ABS((D157-1))*(1-Inputs!$E$5))</f>
        <v>0.35</v>
      </c>
      <c r="N157">
        <f>(E157*Inputs!$E$6+ABS((E157-1))*(1-Inputs!$E$6))</f>
        <v>0.4</v>
      </c>
      <c r="O157">
        <f>(F157*Inputs!$E$7+ABS((F157-1))*(1-Inputs!$E$7))</f>
        <v>0.75</v>
      </c>
      <c r="P157">
        <f>(G157*Inputs!$E$8+ABS((G157-1))*(1-Inputs!$E$8))</f>
        <v>0.6</v>
      </c>
      <c r="Q157">
        <f>(H157*Inputs!$E$9+ABS((H157-1))*(1-Inputs!$E$9))</f>
        <v>0.35</v>
      </c>
      <c r="R157">
        <f t="shared" si="19"/>
        <v>1.7557312499999996E-3</v>
      </c>
      <c r="T157">
        <f>Inputs!$I$2*A157*Inputs!$G$2</f>
        <v>0</v>
      </c>
      <c r="U157">
        <f>Inputs!$I$3*B157*Inputs!$G$3</f>
        <v>0</v>
      </c>
      <c r="V157">
        <f>Inputs!$I$4*C157*Inputs!$G$4</f>
        <v>0.1422264291528948</v>
      </c>
      <c r="W157">
        <f>Inputs!$I$5*D157*Inputs!$G$5</f>
        <v>0</v>
      </c>
      <c r="X157">
        <f>Inputs!$I$6*E157*Inputs!$G$6</f>
        <v>0</v>
      </c>
      <c r="Y157">
        <f>Inputs!$I$7*F157*Inputs!$G$7</f>
        <v>0.19972733373941395</v>
      </c>
      <c r="Z157">
        <f>Inputs!$I$8*G157*Inputs!$G$8</f>
        <v>0.76006970051755651</v>
      </c>
      <c r="AA157">
        <f>Inputs!$I$9*H157*Inputs!$G$9</f>
        <v>0</v>
      </c>
      <c r="AB157">
        <f t="shared" si="16"/>
        <v>1.1020234634098651</v>
      </c>
      <c r="AD157">
        <f>Inputs!$I$2*ABS(A157-1)*Inputs!$H$2</f>
        <v>3.0082304526748989E-2</v>
      </c>
      <c r="AE157">
        <f>Inputs!$I$3*ABS(B157-1)*Inputs!$H$3</f>
        <v>1.1405796839520112E-2</v>
      </c>
      <c r="AF157">
        <f>Inputs!$I$4*ABS(C157-1)*Inputs!$H$4</f>
        <v>0</v>
      </c>
      <c r="AG157">
        <f>Inputs!$I$5*ABS(D157-1)*Inputs!$H$5</f>
        <v>3.0032539984442563E-2</v>
      </c>
      <c r="AH157">
        <f>Inputs!$I$6*ABS(E157-1)*Inputs!$H$6</f>
        <v>6.4042485034184693E-2</v>
      </c>
      <c r="AI157">
        <f>Inputs!$I$7*ABS(F157-1)*Inputs!$H$7</f>
        <v>0</v>
      </c>
      <c r="AJ157">
        <f>Inputs!$I$8*ABS(G157-1)*Inputs!$H$8</f>
        <v>0</v>
      </c>
      <c r="AK157">
        <f>Inputs!$I$9*ABS(H157-1)*Inputs!$H$9</f>
        <v>1.3048927592764261E-2</v>
      </c>
      <c r="AL157">
        <f t="shared" si="20"/>
        <v>-0.14861205397766064</v>
      </c>
      <c r="AN157" s="1">
        <f t="shared" si="21"/>
        <v>0.95341140943220448</v>
      </c>
      <c r="AO157">
        <f t="shared" si="17"/>
        <v>1.6739342056466659E-3</v>
      </c>
      <c r="AP157">
        <f t="shared" si="18"/>
        <v>6.4311305449132948E-4</v>
      </c>
      <c r="AQ157" s="26">
        <f t="shared" si="22"/>
        <v>1.0011762890491658</v>
      </c>
      <c r="AR157">
        <f t="shared" si="23"/>
        <v>-2.6092282729526552E-4</v>
      </c>
    </row>
    <row r="158" spans="1:44" x14ac:dyDescent="0.25">
      <c r="A158">
        <v>0</v>
      </c>
      <c r="B158">
        <v>0</v>
      </c>
      <c r="C158">
        <v>0</v>
      </c>
      <c r="D158">
        <v>1</v>
      </c>
      <c r="E158">
        <v>1</v>
      </c>
      <c r="F158">
        <v>1</v>
      </c>
      <c r="G158">
        <v>1</v>
      </c>
      <c r="H158">
        <v>0</v>
      </c>
      <c r="J158">
        <f>(A158*Inputs!$E$2+ABS((A158-1))*(1-Inputs!$E$2))</f>
        <v>0.35</v>
      </c>
      <c r="K158">
        <f>(B158*Inputs!$E$3+ABS((B158-1))*(1-Inputs!$E$3))</f>
        <v>0.35</v>
      </c>
      <c r="L158">
        <f>(C158*Inputs!$E$4+ABS((C158-1))*(1-Inputs!$E$4))</f>
        <v>0.35</v>
      </c>
      <c r="M158">
        <f>(D158*Inputs!$E$5+ABS((D158-1))*(1-Inputs!$E$5))</f>
        <v>0.65</v>
      </c>
      <c r="N158">
        <f>(E158*Inputs!$E$6+ABS((E158-1))*(1-Inputs!$E$6))</f>
        <v>0.6</v>
      </c>
      <c r="O158">
        <f>(F158*Inputs!$E$7+ABS((F158-1))*(1-Inputs!$E$7))</f>
        <v>0.75</v>
      </c>
      <c r="P158">
        <f>(G158*Inputs!$E$8+ABS((G158-1))*(1-Inputs!$E$8))</f>
        <v>0.6</v>
      </c>
      <c r="Q158">
        <f>(H158*Inputs!$E$9+ABS((H158-1))*(1-Inputs!$E$9))</f>
        <v>0.35</v>
      </c>
      <c r="R158">
        <f t="shared" si="19"/>
        <v>2.6335968749999993E-3</v>
      </c>
      <c r="T158">
        <f>Inputs!$I$2*A158*Inputs!$G$2</f>
        <v>0</v>
      </c>
      <c r="U158">
        <f>Inputs!$I$3*B158*Inputs!$G$3</f>
        <v>0</v>
      </c>
      <c r="V158">
        <f>Inputs!$I$4*C158*Inputs!$G$4</f>
        <v>0</v>
      </c>
      <c r="W158">
        <f>Inputs!$I$5*D158*Inputs!$G$5</f>
        <v>0.20551679322687164</v>
      </c>
      <c r="X158">
        <f>Inputs!$I$6*E158*Inputs!$G$6</f>
        <v>0.37656981200100598</v>
      </c>
      <c r="Y158">
        <f>Inputs!$I$7*F158*Inputs!$G$7</f>
        <v>0.19972733373941395</v>
      </c>
      <c r="Z158">
        <f>Inputs!$I$8*G158*Inputs!$G$8</f>
        <v>0.76006970051755651</v>
      </c>
      <c r="AA158">
        <f>Inputs!$I$9*H158*Inputs!$G$9</f>
        <v>0</v>
      </c>
      <c r="AB158">
        <f t="shared" si="16"/>
        <v>1.5418836394848481</v>
      </c>
      <c r="AD158">
        <f>Inputs!$I$2*ABS(A158-1)*Inputs!$H$2</f>
        <v>3.0082304526748989E-2</v>
      </c>
      <c r="AE158">
        <f>Inputs!$I$3*ABS(B158-1)*Inputs!$H$3</f>
        <v>1.1405796839520112E-2</v>
      </c>
      <c r="AF158">
        <f>Inputs!$I$4*ABS(C158-1)*Inputs!$H$4</f>
        <v>8.9678988679000853E-3</v>
      </c>
      <c r="AG158">
        <f>Inputs!$I$5*ABS(D158-1)*Inputs!$H$5</f>
        <v>0</v>
      </c>
      <c r="AH158">
        <f>Inputs!$I$6*ABS(E158-1)*Inputs!$H$6</f>
        <v>0</v>
      </c>
      <c r="AI158">
        <f>Inputs!$I$7*ABS(F158-1)*Inputs!$H$7</f>
        <v>0</v>
      </c>
      <c r="AJ158">
        <f>Inputs!$I$8*ABS(G158-1)*Inputs!$H$8</f>
        <v>0</v>
      </c>
      <c r="AK158">
        <f>Inputs!$I$9*ABS(H158-1)*Inputs!$H$9</f>
        <v>1.3048927592764261E-2</v>
      </c>
      <c r="AL158">
        <f t="shared" si="20"/>
        <v>-6.3504927826933441E-2</v>
      </c>
      <c r="AN158" s="1">
        <f t="shared" si="21"/>
        <v>1.4783787116579146</v>
      </c>
      <c r="AO158">
        <f t="shared" si="17"/>
        <v>3.893453555088809E-3</v>
      </c>
      <c r="AP158">
        <f t="shared" si="18"/>
        <v>1.6962476981437659E-5</v>
      </c>
      <c r="AQ158" s="26">
        <f t="shared" si="22"/>
        <v>1.0023931236011381</v>
      </c>
      <c r="AR158">
        <f t="shared" si="23"/>
        <v>-1.6724637947211242E-4</v>
      </c>
    </row>
    <row r="159" spans="1:44" x14ac:dyDescent="0.25">
      <c r="A159">
        <v>0</v>
      </c>
      <c r="B159">
        <v>0</v>
      </c>
      <c r="C159">
        <v>0</v>
      </c>
      <c r="D159">
        <v>1</v>
      </c>
      <c r="E159">
        <v>0</v>
      </c>
      <c r="F159">
        <v>1</v>
      </c>
      <c r="G159">
        <v>1</v>
      </c>
      <c r="H159">
        <v>0</v>
      </c>
      <c r="J159">
        <f>(A159*Inputs!$E$2+ABS((A159-1))*(1-Inputs!$E$2))</f>
        <v>0.35</v>
      </c>
      <c r="K159">
        <f>(B159*Inputs!$E$3+ABS((B159-1))*(1-Inputs!$E$3))</f>
        <v>0.35</v>
      </c>
      <c r="L159">
        <f>(C159*Inputs!$E$4+ABS((C159-1))*(1-Inputs!$E$4))</f>
        <v>0.35</v>
      </c>
      <c r="M159">
        <f>(D159*Inputs!$E$5+ABS((D159-1))*(1-Inputs!$E$5))</f>
        <v>0.65</v>
      </c>
      <c r="N159">
        <f>(E159*Inputs!$E$6+ABS((E159-1))*(1-Inputs!$E$6))</f>
        <v>0.4</v>
      </c>
      <c r="O159">
        <f>(F159*Inputs!$E$7+ABS((F159-1))*(1-Inputs!$E$7))</f>
        <v>0.75</v>
      </c>
      <c r="P159">
        <f>(G159*Inputs!$E$8+ABS((G159-1))*(1-Inputs!$E$8))</f>
        <v>0.6</v>
      </c>
      <c r="Q159">
        <f>(H159*Inputs!$E$9+ABS((H159-1))*(1-Inputs!$E$9))</f>
        <v>0.35</v>
      </c>
      <c r="R159">
        <f t="shared" si="19"/>
        <v>1.7557312499999996E-3</v>
      </c>
      <c r="T159">
        <f>Inputs!$I$2*A159*Inputs!$G$2</f>
        <v>0</v>
      </c>
      <c r="U159">
        <f>Inputs!$I$3*B159*Inputs!$G$3</f>
        <v>0</v>
      </c>
      <c r="V159">
        <f>Inputs!$I$4*C159*Inputs!$G$4</f>
        <v>0</v>
      </c>
      <c r="W159">
        <f>Inputs!$I$5*D159*Inputs!$G$5</f>
        <v>0.20551679322687164</v>
      </c>
      <c r="X159">
        <f>Inputs!$I$6*E159*Inputs!$G$6</f>
        <v>0</v>
      </c>
      <c r="Y159">
        <f>Inputs!$I$7*F159*Inputs!$G$7</f>
        <v>0.19972733373941395</v>
      </c>
      <c r="Z159">
        <f>Inputs!$I$8*G159*Inputs!$G$8</f>
        <v>0.76006970051755651</v>
      </c>
      <c r="AA159">
        <f>Inputs!$I$9*H159*Inputs!$G$9</f>
        <v>0</v>
      </c>
      <c r="AB159">
        <f t="shared" si="16"/>
        <v>1.1653138274838422</v>
      </c>
      <c r="AD159">
        <f>Inputs!$I$2*ABS(A159-1)*Inputs!$H$2</f>
        <v>3.0082304526748989E-2</v>
      </c>
      <c r="AE159">
        <f>Inputs!$I$3*ABS(B159-1)*Inputs!$H$3</f>
        <v>1.1405796839520112E-2</v>
      </c>
      <c r="AF159">
        <f>Inputs!$I$4*ABS(C159-1)*Inputs!$H$4</f>
        <v>8.9678988679000853E-3</v>
      </c>
      <c r="AG159">
        <f>Inputs!$I$5*ABS(D159-1)*Inputs!$H$5</f>
        <v>0</v>
      </c>
      <c r="AH159">
        <f>Inputs!$I$6*ABS(E159-1)*Inputs!$H$6</f>
        <v>6.4042485034184693E-2</v>
      </c>
      <c r="AI159">
        <f>Inputs!$I$7*ABS(F159-1)*Inputs!$H$7</f>
        <v>0</v>
      </c>
      <c r="AJ159">
        <f>Inputs!$I$8*ABS(G159-1)*Inputs!$H$8</f>
        <v>0</v>
      </c>
      <c r="AK159">
        <f>Inputs!$I$9*ABS(H159-1)*Inputs!$H$9</f>
        <v>1.3048927592764261E-2</v>
      </c>
      <c r="AL159">
        <f t="shared" si="20"/>
        <v>-0.12754741286111815</v>
      </c>
      <c r="AN159" s="1">
        <f t="shared" si="21"/>
        <v>1.0377664146227241</v>
      </c>
      <c r="AO159">
        <f t="shared" si="17"/>
        <v>1.8220389243535733E-3</v>
      </c>
      <c r="AP159">
        <f t="shared" si="18"/>
        <v>4.7633398678839981E-4</v>
      </c>
      <c r="AQ159" s="26">
        <f t="shared" si="22"/>
        <v>1.0012506062197619</v>
      </c>
      <c r="AR159">
        <f t="shared" si="23"/>
        <v>-2.2393897861691699E-4</v>
      </c>
    </row>
    <row r="160" spans="1:44" x14ac:dyDescent="0.25">
      <c r="A160">
        <v>0</v>
      </c>
      <c r="B160">
        <v>0</v>
      </c>
      <c r="C160">
        <v>0</v>
      </c>
      <c r="D160">
        <v>0</v>
      </c>
      <c r="E160">
        <v>1</v>
      </c>
      <c r="F160">
        <v>1</v>
      </c>
      <c r="G160">
        <v>1</v>
      </c>
      <c r="H160">
        <v>0</v>
      </c>
      <c r="J160">
        <f>(A160*Inputs!$E$2+ABS((A160-1))*(1-Inputs!$E$2))</f>
        <v>0.35</v>
      </c>
      <c r="K160">
        <f>(B160*Inputs!$E$3+ABS((B160-1))*(1-Inputs!$E$3))</f>
        <v>0.35</v>
      </c>
      <c r="L160">
        <f>(C160*Inputs!$E$4+ABS((C160-1))*(1-Inputs!$E$4))</f>
        <v>0.35</v>
      </c>
      <c r="M160">
        <f>(D160*Inputs!$E$5+ABS((D160-1))*(1-Inputs!$E$5))</f>
        <v>0.35</v>
      </c>
      <c r="N160">
        <f>(E160*Inputs!$E$6+ABS((E160-1))*(1-Inputs!$E$6))</f>
        <v>0.6</v>
      </c>
      <c r="O160">
        <f>(F160*Inputs!$E$7+ABS((F160-1))*(1-Inputs!$E$7))</f>
        <v>0.75</v>
      </c>
      <c r="P160">
        <f>(G160*Inputs!$E$8+ABS((G160-1))*(1-Inputs!$E$8))</f>
        <v>0.6</v>
      </c>
      <c r="Q160">
        <f>(H160*Inputs!$E$9+ABS((H160-1))*(1-Inputs!$E$9))</f>
        <v>0.35</v>
      </c>
      <c r="R160">
        <f t="shared" si="19"/>
        <v>1.4180906249999991E-3</v>
      </c>
      <c r="T160">
        <f>Inputs!$I$2*A160*Inputs!$G$2</f>
        <v>0</v>
      </c>
      <c r="U160">
        <f>Inputs!$I$3*B160*Inputs!$G$3</f>
        <v>0</v>
      </c>
      <c r="V160">
        <f>Inputs!$I$4*C160*Inputs!$G$4</f>
        <v>0</v>
      </c>
      <c r="W160">
        <f>Inputs!$I$5*D160*Inputs!$G$5</f>
        <v>0</v>
      </c>
      <c r="X160">
        <f>Inputs!$I$6*E160*Inputs!$G$6</f>
        <v>0.37656981200100598</v>
      </c>
      <c r="Y160">
        <f>Inputs!$I$7*F160*Inputs!$G$7</f>
        <v>0.19972733373941395</v>
      </c>
      <c r="Z160">
        <f>Inputs!$I$8*G160*Inputs!$G$8</f>
        <v>0.76006970051755651</v>
      </c>
      <c r="AA160">
        <f>Inputs!$I$9*H160*Inputs!$G$9</f>
        <v>0</v>
      </c>
      <c r="AB160">
        <f t="shared" si="16"/>
        <v>1.3363668462579765</v>
      </c>
      <c r="AD160">
        <f>Inputs!$I$2*ABS(A160-1)*Inputs!$H$2</f>
        <v>3.0082304526748989E-2</v>
      </c>
      <c r="AE160">
        <f>Inputs!$I$3*ABS(B160-1)*Inputs!$H$3</f>
        <v>1.1405796839520112E-2</v>
      </c>
      <c r="AF160">
        <f>Inputs!$I$4*ABS(C160-1)*Inputs!$H$4</f>
        <v>8.9678988679000853E-3</v>
      </c>
      <c r="AG160">
        <f>Inputs!$I$5*ABS(D160-1)*Inputs!$H$5</f>
        <v>3.0032539984442563E-2</v>
      </c>
      <c r="AH160">
        <f>Inputs!$I$6*ABS(E160-1)*Inputs!$H$6</f>
        <v>0</v>
      </c>
      <c r="AI160">
        <f>Inputs!$I$7*ABS(F160-1)*Inputs!$H$7</f>
        <v>0</v>
      </c>
      <c r="AJ160">
        <f>Inputs!$I$8*ABS(G160-1)*Inputs!$H$8</f>
        <v>0</v>
      </c>
      <c r="AK160">
        <f>Inputs!$I$9*ABS(H160-1)*Inputs!$H$9</f>
        <v>1.3048927592764261E-2</v>
      </c>
      <c r="AL160">
        <f t="shared" si="20"/>
        <v>-9.3537467811376007E-2</v>
      </c>
      <c r="AN160" s="1">
        <f t="shared" si="21"/>
        <v>1.2428293784466005</v>
      </c>
      <c r="AO160">
        <f t="shared" si="17"/>
        <v>1.7624446900497001E-3</v>
      </c>
      <c r="AP160">
        <f t="shared" si="18"/>
        <v>1.4142919900035126E-4</v>
      </c>
      <c r="AQ160" s="26">
        <f t="shared" si="22"/>
        <v>1.0011461022202079</v>
      </c>
      <c r="AR160">
        <f t="shared" si="23"/>
        <v>-1.326446061895515E-4</v>
      </c>
    </row>
    <row r="161" spans="1:44" x14ac:dyDescent="0.25">
      <c r="A161">
        <v>0</v>
      </c>
      <c r="B161">
        <v>0</v>
      </c>
      <c r="C161">
        <v>0</v>
      </c>
      <c r="D161">
        <v>0</v>
      </c>
      <c r="E161">
        <v>0</v>
      </c>
      <c r="F161">
        <v>1</v>
      </c>
      <c r="G161">
        <v>1</v>
      </c>
      <c r="H161">
        <v>0</v>
      </c>
      <c r="J161">
        <f>(A161*Inputs!$E$2+ABS((A161-1))*(1-Inputs!$E$2))</f>
        <v>0.35</v>
      </c>
      <c r="K161">
        <f>(B161*Inputs!$E$3+ABS((B161-1))*(1-Inputs!$E$3))</f>
        <v>0.35</v>
      </c>
      <c r="L161">
        <f>(C161*Inputs!$E$4+ABS((C161-1))*(1-Inputs!$E$4))</f>
        <v>0.35</v>
      </c>
      <c r="M161">
        <f>(D161*Inputs!$E$5+ABS((D161-1))*(1-Inputs!$E$5))</f>
        <v>0.35</v>
      </c>
      <c r="N161">
        <f>(E161*Inputs!$E$6+ABS((E161-1))*(1-Inputs!$E$6))</f>
        <v>0.4</v>
      </c>
      <c r="O161">
        <f>(F161*Inputs!$E$7+ABS((F161-1))*(1-Inputs!$E$7))</f>
        <v>0.75</v>
      </c>
      <c r="P161">
        <f>(G161*Inputs!$E$8+ABS((G161-1))*(1-Inputs!$E$8))</f>
        <v>0.6</v>
      </c>
      <c r="Q161">
        <f>(H161*Inputs!$E$9+ABS((H161-1))*(1-Inputs!$E$9))</f>
        <v>0.35</v>
      </c>
      <c r="R161">
        <f t="shared" si="19"/>
        <v>9.453937499999996E-4</v>
      </c>
      <c r="T161">
        <f>Inputs!$I$2*A161*Inputs!$G$2</f>
        <v>0</v>
      </c>
      <c r="U161">
        <f>Inputs!$I$3*B161*Inputs!$G$3</f>
        <v>0</v>
      </c>
      <c r="V161">
        <f>Inputs!$I$4*C161*Inputs!$G$4</f>
        <v>0</v>
      </c>
      <c r="W161">
        <f>Inputs!$I$5*D161*Inputs!$G$5</f>
        <v>0</v>
      </c>
      <c r="X161">
        <f>Inputs!$I$6*E161*Inputs!$G$6</f>
        <v>0</v>
      </c>
      <c r="Y161">
        <f>Inputs!$I$7*F161*Inputs!$G$7</f>
        <v>0.19972733373941395</v>
      </c>
      <c r="Z161">
        <f>Inputs!$I$8*G161*Inputs!$G$8</f>
        <v>0.76006970051755651</v>
      </c>
      <c r="AA161">
        <f>Inputs!$I$9*H161*Inputs!$G$9</f>
        <v>0</v>
      </c>
      <c r="AB161">
        <f t="shared" si="16"/>
        <v>0.95979703425697049</v>
      </c>
      <c r="AD161">
        <f>Inputs!$I$2*ABS(A161-1)*Inputs!$H$2</f>
        <v>3.0082304526748989E-2</v>
      </c>
      <c r="AE161">
        <f>Inputs!$I$3*ABS(B161-1)*Inputs!$H$3</f>
        <v>1.1405796839520112E-2</v>
      </c>
      <c r="AF161">
        <f>Inputs!$I$4*ABS(C161-1)*Inputs!$H$4</f>
        <v>8.9678988679000853E-3</v>
      </c>
      <c r="AG161">
        <f>Inputs!$I$5*ABS(D161-1)*Inputs!$H$5</f>
        <v>3.0032539984442563E-2</v>
      </c>
      <c r="AH161">
        <f>Inputs!$I$6*ABS(E161-1)*Inputs!$H$6</f>
        <v>6.4042485034184693E-2</v>
      </c>
      <c r="AI161">
        <f>Inputs!$I$7*ABS(F161-1)*Inputs!$H$7</f>
        <v>0</v>
      </c>
      <c r="AJ161">
        <f>Inputs!$I$8*ABS(G161-1)*Inputs!$H$8</f>
        <v>0</v>
      </c>
      <c r="AK161">
        <f>Inputs!$I$9*ABS(H161-1)*Inputs!$H$9</f>
        <v>1.3048927592764261E-2</v>
      </c>
      <c r="AL161">
        <f t="shared" si="20"/>
        <v>-0.1575799528455607</v>
      </c>
      <c r="AN161" s="1">
        <f t="shared" si="21"/>
        <v>0.80221708141140979</v>
      </c>
      <c r="AO161">
        <f t="shared" si="17"/>
        <v>7.5841101490958763E-4</v>
      </c>
      <c r="AP161">
        <f t="shared" si="18"/>
        <v>5.4092171407337073E-4</v>
      </c>
      <c r="AQ161" s="26">
        <f t="shared" si="22"/>
        <v>1.0005570086472475</v>
      </c>
      <c r="AR161">
        <f t="shared" si="23"/>
        <v>-1.4897510254548773E-4</v>
      </c>
    </row>
    <row r="162" spans="1:44" x14ac:dyDescent="0.25">
      <c r="A162">
        <v>1</v>
      </c>
      <c r="B162">
        <v>1</v>
      </c>
      <c r="C162">
        <v>1</v>
      </c>
      <c r="D162">
        <v>1</v>
      </c>
      <c r="E162">
        <v>1</v>
      </c>
      <c r="F162">
        <v>0</v>
      </c>
      <c r="G162">
        <v>1</v>
      </c>
      <c r="H162">
        <v>0</v>
      </c>
      <c r="J162">
        <f>(A162*Inputs!$E$2+ABS((A162-1))*(1-Inputs!$E$2))</f>
        <v>0.65</v>
      </c>
      <c r="K162">
        <f>(B162*Inputs!$E$3+ABS((B162-1))*(1-Inputs!$E$3))</f>
        <v>0.65</v>
      </c>
      <c r="L162">
        <f>(C162*Inputs!$E$4+ABS((C162-1))*(1-Inputs!$E$4))</f>
        <v>0.65</v>
      </c>
      <c r="M162">
        <f>(D162*Inputs!$E$5+ABS((D162-1))*(1-Inputs!$E$5))</f>
        <v>0.65</v>
      </c>
      <c r="N162">
        <f>(E162*Inputs!$E$6+ABS((E162-1))*(1-Inputs!$E$6))</f>
        <v>0.6</v>
      </c>
      <c r="O162">
        <f>(F162*Inputs!$E$7+ABS((F162-1))*(1-Inputs!$E$7))</f>
        <v>0.25</v>
      </c>
      <c r="P162">
        <f>(G162*Inputs!$E$8+ABS((G162-1))*(1-Inputs!$E$8))</f>
        <v>0.6</v>
      </c>
      <c r="Q162">
        <f>(H162*Inputs!$E$9+ABS((H162-1))*(1-Inputs!$E$9))</f>
        <v>0.35</v>
      </c>
      <c r="R162">
        <f t="shared" si="19"/>
        <v>5.6229468750000015E-3</v>
      </c>
      <c r="T162">
        <f>Inputs!$I$2*A162*Inputs!$G$2</f>
        <v>0.52958847736625514</v>
      </c>
      <c r="U162">
        <f>Inputs!$I$3*B162*Inputs!$G$3</f>
        <v>0.20645773829738062</v>
      </c>
      <c r="V162">
        <f>Inputs!$I$4*C162*Inputs!$G$4</f>
        <v>0.1422264291528948</v>
      </c>
      <c r="W162">
        <f>Inputs!$I$5*D162*Inputs!$G$5</f>
        <v>0.20551679322687164</v>
      </c>
      <c r="X162">
        <f>Inputs!$I$6*E162*Inputs!$G$6</f>
        <v>0.37656981200100598</v>
      </c>
      <c r="Y162">
        <f>Inputs!$I$7*F162*Inputs!$G$7</f>
        <v>0</v>
      </c>
      <c r="Z162">
        <f>Inputs!$I$8*G162*Inputs!$G$8</f>
        <v>0.76006970051755651</v>
      </c>
      <c r="AA162">
        <f>Inputs!$I$9*H162*Inputs!$G$9</f>
        <v>0</v>
      </c>
      <c r="AB162">
        <f t="shared" ref="AB162:AB225" si="24">SUM(T162:AA162)</f>
        <v>2.2204289505619643</v>
      </c>
      <c r="AD162">
        <f>Inputs!$I$2*ABS(A162-1)*Inputs!$H$2</f>
        <v>0</v>
      </c>
      <c r="AE162">
        <f>Inputs!$I$3*ABS(B162-1)*Inputs!$H$3</f>
        <v>0</v>
      </c>
      <c r="AF162">
        <f>Inputs!$I$4*ABS(C162-1)*Inputs!$H$4</f>
        <v>0</v>
      </c>
      <c r="AG162">
        <f>Inputs!$I$5*ABS(D162-1)*Inputs!$H$5</f>
        <v>0</v>
      </c>
      <c r="AH162">
        <f>Inputs!$I$6*ABS(E162-1)*Inputs!$H$6</f>
        <v>0</v>
      </c>
      <c r="AI162">
        <f>Inputs!$I$7*ABS(F162-1)*Inputs!$H$7</f>
        <v>1.49493001411365E-2</v>
      </c>
      <c r="AJ162">
        <f>Inputs!$I$8*ABS(G162-1)*Inputs!$H$8</f>
        <v>0</v>
      </c>
      <c r="AK162">
        <f>Inputs!$I$9*ABS(H162-1)*Inputs!$H$9</f>
        <v>1.3048927592764261E-2</v>
      </c>
      <c r="AL162">
        <f t="shared" si="20"/>
        <v>-2.799822773390076E-2</v>
      </c>
      <c r="AN162" s="1">
        <f t="shared" si="21"/>
        <v>2.1924307228280635</v>
      </c>
      <c r="AO162">
        <f t="shared" ref="AO162:AO225" si="25">AN162*R162</f>
        <v>1.2327921481580054E-2</v>
      </c>
      <c r="AP162">
        <f t="shared" ref="AP162:AP225" si="26">(AN162-$AO$258)^2*R162</f>
        <v>2.2587329588847358E-3</v>
      </c>
      <c r="AQ162" s="26">
        <f t="shared" si="22"/>
        <v>1.0065483663500616</v>
      </c>
      <c r="AR162">
        <f t="shared" si="23"/>
        <v>-1.5743254714187566E-4</v>
      </c>
    </row>
    <row r="163" spans="1:44" x14ac:dyDescent="0.25">
      <c r="A163">
        <v>1</v>
      </c>
      <c r="B163">
        <v>1</v>
      </c>
      <c r="C163">
        <v>1</v>
      </c>
      <c r="D163">
        <v>1</v>
      </c>
      <c r="E163">
        <v>0</v>
      </c>
      <c r="F163">
        <v>0</v>
      </c>
      <c r="G163">
        <v>1</v>
      </c>
      <c r="H163">
        <v>0</v>
      </c>
      <c r="J163">
        <f>(A163*Inputs!$E$2+ABS((A163-1))*(1-Inputs!$E$2))</f>
        <v>0.65</v>
      </c>
      <c r="K163">
        <f>(B163*Inputs!$E$3+ABS((B163-1))*(1-Inputs!$E$3))</f>
        <v>0.65</v>
      </c>
      <c r="L163">
        <f>(C163*Inputs!$E$4+ABS((C163-1))*(1-Inputs!$E$4))</f>
        <v>0.65</v>
      </c>
      <c r="M163">
        <f>(D163*Inputs!$E$5+ABS((D163-1))*(1-Inputs!$E$5))</f>
        <v>0.65</v>
      </c>
      <c r="N163">
        <f>(E163*Inputs!$E$6+ABS((E163-1))*(1-Inputs!$E$6))</f>
        <v>0.4</v>
      </c>
      <c r="O163">
        <f>(F163*Inputs!$E$7+ABS((F163-1))*(1-Inputs!$E$7))</f>
        <v>0.25</v>
      </c>
      <c r="P163">
        <f>(G163*Inputs!$E$8+ABS((G163-1))*(1-Inputs!$E$8))</f>
        <v>0.6</v>
      </c>
      <c r="Q163">
        <f>(H163*Inputs!$E$9+ABS((H163-1))*(1-Inputs!$E$9))</f>
        <v>0.35</v>
      </c>
      <c r="R163">
        <f t="shared" si="19"/>
        <v>3.7486312500000008E-3</v>
      </c>
      <c r="T163">
        <f>Inputs!$I$2*A163*Inputs!$G$2</f>
        <v>0.52958847736625514</v>
      </c>
      <c r="U163">
        <f>Inputs!$I$3*B163*Inputs!$G$3</f>
        <v>0.20645773829738062</v>
      </c>
      <c r="V163">
        <f>Inputs!$I$4*C163*Inputs!$G$4</f>
        <v>0.1422264291528948</v>
      </c>
      <c r="W163">
        <f>Inputs!$I$5*D163*Inputs!$G$5</f>
        <v>0.20551679322687164</v>
      </c>
      <c r="X163">
        <f>Inputs!$I$6*E163*Inputs!$G$6</f>
        <v>0</v>
      </c>
      <c r="Y163">
        <f>Inputs!$I$7*F163*Inputs!$G$7</f>
        <v>0</v>
      </c>
      <c r="Z163">
        <f>Inputs!$I$8*G163*Inputs!$G$8</f>
        <v>0.76006970051755651</v>
      </c>
      <c r="AA163">
        <f>Inputs!$I$9*H163*Inputs!$G$9</f>
        <v>0</v>
      </c>
      <c r="AB163">
        <f t="shared" si="24"/>
        <v>1.8438591385609586</v>
      </c>
      <c r="AD163">
        <f>Inputs!$I$2*ABS(A163-1)*Inputs!$H$2</f>
        <v>0</v>
      </c>
      <c r="AE163">
        <f>Inputs!$I$3*ABS(B163-1)*Inputs!$H$3</f>
        <v>0</v>
      </c>
      <c r="AF163">
        <f>Inputs!$I$4*ABS(C163-1)*Inputs!$H$4</f>
        <v>0</v>
      </c>
      <c r="AG163">
        <f>Inputs!$I$5*ABS(D163-1)*Inputs!$H$5</f>
        <v>0</v>
      </c>
      <c r="AH163">
        <f>Inputs!$I$6*ABS(E163-1)*Inputs!$H$6</f>
        <v>6.4042485034184693E-2</v>
      </c>
      <c r="AI163">
        <f>Inputs!$I$7*ABS(F163-1)*Inputs!$H$7</f>
        <v>1.49493001411365E-2</v>
      </c>
      <c r="AJ163">
        <f>Inputs!$I$8*ABS(G163-1)*Inputs!$H$8</f>
        <v>0</v>
      </c>
      <c r="AK163">
        <f>Inputs!$I$9*ABS(H163-1)*Inputs!$H$9</f>
        <v>1.3048927592764261E-2</v>
      </c>
      <c r="AL163">
        <f t="shared" si="20"/>
        <v>-9.2040712768085453E-2</v>
      </c>
      <c r="AN163" s="1">
        <f t="shared" si="21"/>
        <v>1.7518184257928731</v>
      </c>
      <c r="AO163">
        <f t="shared" si="25"/>
        <v>6.5669212952529712E-3</v>
      </c>
      <c r="AP163">
        <f t="shared" si="26"/>
        <v>1.3990073486158804E-4</v>
      </c>
      <c r="AQ163" s="26">
        <f t="shared" si="22"/>
        <v>1.0038018053345483</v>
      </c>
      <c r="AR163">
        <f t="shared" si="23"/>
        <v>-3.4502669215471919E-4</v>
      </c>
    </row>
    <row r="164" spans="1:44" x14ac:dyDescent="0.25">
      <c r="A164">
        <v>1</v>
      </c>
      <c r="B164">
        <v>1</v>
      </c>
      <c r="C164">
        <v>1</v>
      </c>
      <c r="D164">
        <v>0</v>
      </c>
      <c r="E164">
        <v>1</v>
      </c>
      <c r="F164">
        <v>0</v>
      </c>
      <c r="G164">
        <v>1</v>
      </c>
      <c r="H164">
        <v>0</v>
      </c>
      <c r="J164">
        <f>(A164*Inputs!$E$2+ABS((A164-1))*(1-Inputs!$E$2))</f>
        <v>0.65</v>
      </c>
      <c r="K164">
        <f>(B164*Inputs!$E$3+ABS((B164-1))*(1-Inputs!$E$3))</f>
        <v>0.65</v>
      </c>
      <c r="L164">
        <f>(C164*Inputs!$E$4+ABS((C164-1))*(1-Inputs!$E$4))</f>
        <v>0.65</v>
      </c>
      <c r="M164">
        <f>(D164*Inputs!$E$5+ABS((D164-1))*(1-Inputs!$E$5))</f>
        <v>0.35</v>
      </c>
      <c r="N164">
        <f>(E164*Inputs!$E$6+ABS((E164-1))*(1-Inputs!$E$6))</f>
        <v>0.6</v>
      </c>
      <c r="O164">
        <f>(F164*Inputs!$E$7+ABS((F164-1))*(1-Inputs!$E$7))</f>
        <v>0.25</v>
      </c>
      <c r="P164">
        <f>(G164*Inputs!$E$8+ABS((G164-1))*(1-Inputs!$E$8))</f>
        <v>0.6</v>
      </c>
      <c r="Q164">
        <f>(H164*Inputs!$E$9+ABS((H164-1))*(1-Inputs!$E$9))</f>
        <v>0.35</v>
      </c>
      <c r="R164">
        <f t="shared" si="19"/>
        <v>3.0277406249999998E-3</v>
      </c>
      <c r="T164">
        <f>Inputs!$I$2*A164*Inputs!$G$2</f>
        <v>0.52958847736625514</v>
      </c>
      <c r="U164">
        <f>Inputs!$I$3*B164*Inputs!$G$3</f>
        <v>0.20645773829738062</v>
      </c>
      <c r="V164">
        <f>Inputs!$I$4*C164*Inputs!$G$4</f>
        <v>0.1422264291528948</v>
      </c>
      <c r="W164">
        <f>Inputs!$I$5*D164*Inputs!$G$5</f>
        <v>0</v>
      </c>
      <c r="X164">
        <f>Inputs!$I$6*E164*Inputs!$G$6</f>
        <v>0.37656981200100598</v>
      </c>
      <c r="Y164">
        <f>Inputs!$I$7*F164*Inputs!$G$7</f>
        <v>0</v>
      </c>
      <c r="Z164">
        <f>Inputs!$I$8*G164*Inputs!$G$8</f>
        <v>0.76006970051755651</v>
      </c>
      <c r="AA164">
        <f>Inputs!$I$9*H164*Inputs!$G$9</f>
        <v>0</v>
      </c>
      <c r="AB164">
        <f t="shared" si="24"/>
        <v>2.0149121573350932</v>
      </c>
      <c r="AD164">
        <f>Inputs!$I$2*ABS(A164-1)*Inputs!$H$2</f>
        <v>0</v>
      </c>
      <c r="AE164">
        <f>Inputs!$I$3*ABS(B164-1)*Inputs!$H$3</f>
        <v>0</v>
      </c>
      <c r="AF164">
        <f>Inputs!$I$4*ABS(C164-1)*Inputs!$H$4</f>
        <v>0</v>
      </c>
      <c r="AG164">
        <f>Inputs!$I$5*ABS(D164-1)*Inputs!$H$5</f>
        <v>3.0032539984442563E-2</v>
      </c>
      <c r="AH164">
        <f>Inputs!$I$6*ABS(E164-1)*Inputs!$H$6</f>
        <v>0</v>
      </c>
      <c r="AI164">
        <f>Inputs!$I$7*ABS(F164-1)*Inputs!$H$7</f>
        <v>1.49493001411365E-2</v>
      </c>
      <c r="AJ164">
        <f>Inputs!$I$8*ABS(G164-1)*Inputs!$H$8</f>
        <v>0</v>
      </c>
      <c r="AK164">
        <f>Inputs!$I$9*ABS(H164-1)*Inputs!$H$9</f>
        <v>1.3048927592764261E-2</v>
      </c>
      <c r="AL164">
        <f t="shared" si="20"/>
        <v>-5.8030767718343326E-2</v>
      </c>
      <c r="AN164" s="1">
        <f t="shared" si="21"/>
        <v>1.9568813896167498</v>
      </c>
      <c r="AO164">
        <f t="shared" si="25"/>
        <v>5.9249292816490867E-3</v>
      </c>
      <c r="AP164">
        <f t="shared" si="26"/>
        <v>4.8020427720790808E-4</v>
      </c>
      <c r="AQ164" s="26">
        <f t="shared" si="22"/>
        <v>1.003287873207884</v>
      </c>
      <c r="AR164">
        <f t="shared" si="23"/>
        <v>-1.7570211292076664E-4</v>
      </c>
    </row>
    <row r="165" spans="1:44" x14ac:dyDescent="0.25">
      <c r="A165">
        <v>1</v>
      </c>
      <c r="B165">
        <v>1</v>
      </c>
      <c r="C165">
        <v>1</v>
      </c>
      <c r="D165">
        <v>0</v>
      </c>
      <c r="E165">
        <v>0</v>
      </c>
      <c r="F165">
        <v>0</v>
      </c>
      <c r="G165">
        <v>1</v>
      </c>
      <c r="H165">
        <v>0</v>
      </c>
      <c r="J165">
        <f>(A165*Inputs!$E$2+ABS((A165-1))*(1-Inputs!$E$2))</f>
        <v>0.65</v>
      </c>
      <c r="K165">
        <f>(B165*Inputs!$E$3+ABS((B165-1))*(1-Inputs!$E$3))</f>
        <v>0.65</v>
      </c>
      <c r="L165">
        <f>(C165*Inputs!$E$4+ABS((C165-1))*(1-Inputs!$E$4))</f>
        <v>0.65</v>
      </c>
      <c r="M165">
        <f>(D165*Inputs!$E$5+ABS((D165-1))*(1-Inputs!$E$5))</f>
        <v>0.35</v>
      </c>
      <c r="N165">
        <f>(E165*Inputs!$E$6+ABS((E165-1))*(1-Inputs!$E$6))</f>
        <v>0.4</v>
      </c>
      <c r="O165">
        <f>(F165*Inputs!$E$7+ABS((F165-1))*(1-Inputs!$E$7))</f>
        <v>0.25</v>
      </c>
      <c r="P165">
        <f>(G165*Inputs!$E$8+ABS((G165-1))*(1-Inputs!$E$8))</f>
        <v>0.6</v>
      </c>
      <c r="Q165">
        <f>(H165*Inputs!$E$9+ABS((H165-1))*(1-Inputs!$E$9))</f>
        <v>0.35</v>
      </c>
      <c r="R165">
        <f t="shared" si="19"/>
        <v>2.0184937500000006E-3</v>
      </c>
      <c r="T165">
        <f>Inputs!$I$2*A165*Inputs!$G$2</f>
        <v>0.52958847736625514</v>
      </c>
      <c r="U165">
        <f>Inputs!$I$3*B165*Inputs!$G$3</f>
        <v>0.20645773829738062</v>
      </c>
      <c r="V165">
        <f>Inputs!$I$4*C165*Inputs!$G$4</f>
        <v>0.1422264291528948</v>
      </c>
      <c r="W165">
        <f>Inputs!$I$5*D165*Inputs!$G$5</f>
        <v>0</v>
      </c>
      <c r="X165">
        <f>Inputs!$I$6*E165*Inputs!$G$6</f>
        <v>0</v>
      </c>
      <c r="Y165">
        <f>Inputs!$I$7*F165*Inputs!$G$7</f>
        <v>0</v>
      </c>
      <c r="Z165">
        <f>Inputs!$I$8*G165*Inputs!$G$8</f>
        <v>0.76006970051755651</v>
      </c>
      <c r="AA165">
        <f>Inputs!$I$9*H165*Inputs!$G$9</f>
        <v>0</v>
      </c>
      <c r="AB165">
        <f t="shared" si="24"/>
        <v>1.6383423453340871</v>
      </c>
      <c r="AD165">
        <f>Inputs!$I$2*ABS(A165-1)*Inputs!$H$2</f>
        <v>0</v>
      </c>
      <c r="AE165">
        <f>Inputs!$I$3*ABS(B165-1)*Inputs!$H$3</f>
        <v>0</v>
      </c>
      <c r="AF165">
        <f>Inputs!$I$4*ABS(C165-1)*Inputs!$H$4</f>
        <v>0</v>
      </c>
      <c r="AG165">
        <f>Inputs!$I$5*ABS(D165-1)*Inputs!$H$5</f>
        <v>3.0032539984442563E-2</v>
      </c>
      <c r="AH165">
        <f>Inputs!$I$6*ABS(E165-1)*Inputs!$H$6</f>
        <v>6.4042485034184693E-2</v>
      </c>
      <c r="AI165">
        <f>Inputs!$I$7*ABS(F165-1)*Inputs!$H$7</f>
        <v>1.49493001411365E-2</v>
      </c>
      <c r="AJ165">
        <f>Inputs!$I$8*ABS(G165-1)*Inputs!$H$8</f>
        <v>0</v>
      </c>
      <c r="AK165">
        <f>Inputs!$I$9*ABS(H165-1)*Inputs!$H$9</f>
        <v>1.3048927592764261E-2</v>
      </c>
      <c r="AL165">
        <f t="shared" si="20"/>
        <v>-0.12207325275252802</v>
      </c>
      <c r="AN165" s="1">
        <f t="shared" si="21"/>
        <v>1.516269092581559</v>
      </c>
      <c r="AO165">
        <f t="shared" si="25"/>
        <v>3.0605796866940492E-3</v>
      </c>
      <c r="AP165">
        <f t="shared" si="26"/>
        <v>3.622646994595312E-6</v>
      </c>
      <c r="AQ165" s="26">
        <f t="shared" si="22"/>
        <v>1.0018643559382288</v>
      </c>
      <c r="AR165">
        <f t="shared" si="23"/>
        <v>-2.4640409772314818E-4</v>
      </c>
    </row>
    <row r="166" spans="1:44" x14ac:dyDescent="0.25">
      <c r="A166">
        <v>1</v>
      </c>
      <c r="B166">
        <v>1</v>
      </c>
      <c r="C166">
        <v>0</v>
      </c>
      <c r="D166">
        <v>1</v>
      </c>
      <c r="E166">
        <v>1</v>
      </c>
      <c r="F166">
        <v>0</v>
      </c>
      <c r="G166">
        <v>1</v>
      </c>
      <c r="H166">
        <v>0</v>
      </c>
      <c r="J166">
        <f>(A166*Inputs!$E$2+ABS((A166-1))*(1-Inputs!$E$2))</f>
        <v>0.65</v>
      </c>
      <c r="K166">
        <f>(B166*Inputs!$E$3+ABS((B166-1))*(1-Inputs!$E$3))</f>
        <v>0.65</v>
      </c>
      <c r="L166">
        <f>(C166*Inputs!$E$4+ABS((C166-1))*(1-Inputs!$E$4))</f>
        <v>0.35</v>
      </c>
      <c r="M166">
        <f>(D166*Inputs!$E$5+ABS((D166-1))*(1-Inputs!$E$5))</f>
        <v>0.65</v>
      </c>
      <c r="N166">
        <f>(E166*Inputs!$E$6+ABS((E166-1))*(1-Inputs!$E$6))</f>
        <v>0.6</v>
      </c>
      <c r="O166">
        <f>(F166*Inputs!$E$7+ABS((F166-1))*(1-Inputs!$E$7))</f>
        <v>0.25</v>
      </c>
      <c r="P166">
        <f>(G166*Inputs!$E$8+ABS((G166-1))*(1-Inputs!$E$8))</f>
        <v>0.6</v>
      </c>
      <c r="Q166">
        <f>(H166*Inputs!$E$9+ABS((H166-1))*(1-Inputs!$E$9))</f>
        <v>0.35</v>
      </c>
      <c r="R166">
        <f t="shared" si="19"/>
        <v>3.0277406249999998E-3</v>
      </c>
      <c r="T166">
        <f>Inputs!$I$2*A166*Inputs!$G$2</f>
        <v>0.52958847736625514</v>
      </c>
      <c r="U166">
        <f>Inputs!$I$3*B166*Inputs!$G$3</f>
        <v>0.20645773829738062</v>
      </c>
      <c r="V166">
        <f>Inputs!$I$4*C166*Inputs!$G$4</f>
        <v>0</v>
      </c>
      <c r="W166">
        <f>Inputs!$I$5*D166*Inputs!$G$5</f>
        <v>0.20551679322687164</v>
      </c>
      <c r="X166">
        <f>Inputs!$I$6*E166*Inputs!$G$6</f>
        <v>0.37656981200100598</v>
      </c>
      <c r="Y166">
        <f>Inputs!$I$7*F166*Inputs!$G$7</f>
        <v>0</v>
      </c>
      <c r="Z166">
        <f>Inputs!$I$8*G166*Inputs!$G$8</f>
        <v>0.76006970051755651</v>
      </c>
      <c r="AA166">
        <f>Inputs!$I$9*H166*Inputs!$G$9</f>
        <v>0</v>
      </c>
      <c r="AB166">
        <f t="shared" si="24"/>
        <v>2.0782025214090698</v>
      </c>
      <c r="AD166">
        <f>Inputs!$I$2*ABS(A166-1)*Inputs!$H$2</f>
        <v>0</v>
      </c>
      <c r="AE166">
        <f>Inputs!$I$3*ABS(B166-1)*Inputs!$H$3</f>
        <v>0</v>
      </c>
      <c r="AF166">
        <f>Inputs!$I$4*ABS(C166-1)*Inputs!$H$4</f>
        <v>8.9678988679000853E-3</v>
      </c>
      <c r="AG166">
        <f>Inputs!$I$5*ABS(D166-1)*Inputs!$H$5</f>
        <v>0</v>
      </c>
      <c r="AH166">
        <f>Inputs!$I$6*ABS(E166-1)*Inputs!$H$6</f>
        <v>0</v>
      </c>
      <c r="AI166">
        <f>Inputs!$I$7*ABS(F166-1)*Inputs!$H$7</f>
        <v>1.49493001411365E-2</v>
      </c>
      <c r="AJ166">
        <f>Inputs!$I$8*ABS(G166-1)*Inputs!$H$8</f>
        <v>0</v>
      </c>
      <c r="AK166">
        <f>Inputs!$I$9*ABS(H166-1)*Inputs!$H$9</f>
        <v>1.3048927592764261E-2</v>
      </c>
      <c r="AL166">
        <f t="shared" si="20"/>
        <v>-3.6966126601800847E-2</v>
      </c>
      <c r="AN166" s="1">
        <f t="shared" si="21"/>
        <v>2.0412363948072691</v>
      </c>
      <c r="AO166">
        <f t="shared" si="25"/>
        <v>6.180334357786507E-3</v>
      </c>
      <c r="AP166">
        <f t="shared" si="26"/>
        <v>7.0517813016272911E-4</v>
      </c>
      <c r="AQ166" s="26">
        <f t="shared" si="22"/>
        <v>1.0033733242221745</v>
      </c>
      <c r="AR166">
        <f t="shared" si="23"/>
        <v>-1.1192384326116561E-4</v>
      </c>
    </row>
    <row r="167" spans="1:44" x14ac:dyDescent="0.25">
      <c r="A167">
        <v>1</v>
      </c>
      <c r="B167">
        <v>1</v>
      </c>
      <c r="C167">
        <v>0</v>
      </c>
      <c r="D167">
        <v>1</v>
      </c>
      <c r="E167">
        <v>0</v>
      </c>
      <c r="F167">
        <v>0</v>
      </c>
      <c r="G167">
        <v>1</v>
      </c>
      <c r="H167">
        <v>0</v>
      </c>
      <c r="J167">
        <f>(A167*Inputs!$E$2+ABS((A167-1))*(1-Inputs!$E$2))</f>
        <v>0.65</v>
      </c>
      <c r="K167">
        <f>(B167*Inputs!$E$3+ABS((B167-1))*(1-Inputs!$E$3))</f>
        <v>0.65</v>
      </c>
      <c r="L167">
        <f>(C167*Inputs!$E$4+ABS((C167-1))*(1-Inputs!$E$4))</f>
        <v>0.35</v>
      </c>
      <c r="M167">
        <f>(D167*Inputs!$E$5+ABS((D167-1))*(1-Inputs!$E$5))</f>
        <v>0.65</v>
      </c>
      <c r="N167">
        <f>(E167*Inputs!$E$6+ABS((E167-1))*(1-Inputs!$E$6))</f>
        <v>0.4</v>
      </c>
      <c r="O167">
        <f>(F167*Inputs!$E$7+ABS((F167-1))*(1-Inputs!$E$7))</f>
        <v>0.25</v>
      </c>
      <c r="P167">
        <f>(G167*Inputs!$E$8+ABS((G167-1))*(1-Inputs!$E$8))</f>
        <v>0.6</v>
      </c>
      <c r="Q167">
        <f>(H167*Inputs!$E$9+ABS((H167-1))*(1-Inputs!$E$9))</f>
        <v>0.35</v>
      </c>
      <c r="R167">
        <f t="shared" si="19"/>
        <v>2.0184937500000001E-3</v>
      </c>
      <c r="T167">
        <f>Inputs!$I$2*A167*Inputs!$G$2</f>
        <v>0.52958847736625514</v>
      </c>
      <c r="U167">
        <f>Inputs!$I$3*B167*Inputs!$G$3</f>
        <v>0.20645773829738062</v>
      </c>
      <c r="V167">
        <f>Inputs!$I$4*C167*Inputs!$G$4</f>
        <v>0</v>
      </c>
      <c r="W167">
        <f>Inputs!$I$5*D167*Inputs!$G$5</f>
        <v>0.20551679322687164</v>
      </c>
      <c r="X167">
        <f>Inputs!$I$6*E167*Inputs!$G$6</f>
        <v>0</v>
      </c>
      <c r="Y167">
        <f>Inputs!$I$7*F167*Inputs!$G$7</f>
        <v>0</v>
      </c>
      <c r="Z167">
        <f>Inputs!$I$8*G167*Inputs!$G$8</f>
        <v>0.76006970051755651</v>
      </c>
      <c r="AA167">
        <f>Inputs!$I$9*H167*Inputs!$G$9</f>
        <v>0</v>
      </c>
      <c r="AB167">
        <f t="shared" si="24"/>
        <v>1.7016327094080639</v>
      </c>
      <c r="AD167">
        <f>Inputs!$I$2*ABS(A167-1)*Inputs!$H$2</f>
        <v>0</v>
      </c>
      <c r="AE167">
        <f>Inputs!$I$3*ABS(B167-1)*Inputs!$H$3</f>
        <v>0</v>
      </c>
      <c r="AF167">
        <f>Inputs!$I$4*ABS(C167-1)*Inputs!$H$4</f>
        <v>8.9678988679000853E-3</v>
      </c>
      <c r="AG167">
        <f>Inputs!$I$5*ABS(D167-1)*Inputs!$H$5</f>
        <v>0</v>
      </c>
      <c r="AH167">
        <f>Inputs!$I$6*ABS(E167-1)*Inputs!$H$6</f>
        <v>6.4042485034184693E-2</v>
      </c>
      <c r="AI167">
        <f>Inputs!$I$7*ABS(F167-1)*Inputs!$H$7</f>
        <v>1.49493001411365E-2</v>
      </c>
      <c r="AJ167">
        <f>Inputs!$I$8*ABS(G167-1)*Inputs!$H$8</f>
        <v>0</v>
      </c>
      <c r="AK167">
        <f>Inputs!$I$9*ABS(H167-1)*Inputs!$H$9</f>
        <v>1.3048927592764261E-2</v>
      </c>
      <c r="AL167">
        <f t="shared" si="20"/>
        <v>-0.10100861163598554</v>
      </c>
      <c r="AN167" s="1">
        <f t="shared" si="21"/>
        <v>1.6006240977720783</v>
      </c>
      <c r="AO167">
        <f t="shared" si="25"/>
        <v>3.2308497374523293E-3</v>
      </c>
      <c r="AP167">
        <f t="shared" si="26"/>
        <v>3.5590592693334077E-6</v>
      </c>
      <c r="AQ167" s="26">
        <f t="shared" si="22"/>
        <v>1.0019310403978547</v>
      </c>
      <c r="AR167">
        <f t="shared" si="23"/>
        <v>-2.0388525128341411E-4</v>
      </c>
    </row>
    <row r="168" spans="1:44" x14ac:dyDescent="0.25">
      <c r="A168">
        <v>1</v>
      </c>
      <c r="B168">
        <v>1</v>
      </c>
      <c r="C168">
        <v>0</v>
      </c>
      <c r="D168">
        <v>0</v>
      </c>
      <c r="E168">
        <v>1</v>
      </c>
      <c r="F168">
        <v>0</v>
      </c>
      <c r="G168">
        <v>1</v>
      </c>
      <c r="H168">
        <v>0</v>
      </c>
      <c r="J168">
        <f>(A168*Inputs!$E$2+ABS((A168-1))*(1-Inputs!$E$2))</f>
        <v>0.65</v>
      </c>
      <c r="K168">
        <f>(B168*Inputs!$E$3+ABS((B168-1))*(1-Inputs!$E$3))</f>
        <v>0.65</v>
      </c>
      <c r="L168">
        <f>(C168*Inputs!$E$4+ABS((C168-1))*(1-Inputs!$E$4))</f>
        <v>0.35</v>
      </c>
      <c r="M168">
        <f>(D168*Inputs!$E$5+ABS((D168-1))*(1-Inputs!$E$5))</f>
        <v>0.35</v>
      </c>
      <c r="N168">
        <f>(E168*Inputs!$E$6+ABS((E168-1))*(1-Inputs!$E$6))</f>
        <v>0.6</v>
      </c>
      <c r="O168">
        <f>(F168*Inputs!$E$7+ABS((F168-1))*(1-Inputs!$E$7))</f>
        <v>0.25</v>
      </c>
      <c r="P168">
        <f>(G168*Inputs!$E$8+ABS((G168-1))*(1-Inputs!$E$8))</f>
        <v>0.6</v>
      </c>
      <c r="Q168">
        <f>(H168*Inputs!$E$9+ABS((H168-1))*(1-Inputs!$E$9))</f>
        <v>0.35</v>
      </c>
      <c r="R168">
        <f t="shared" si="19"/>
        <v>1.6303218749999999E-3</v>
      </c>
      <c r="T168">
        <f>Inputs!$I$2*A168*Inputs!$G$2</f>
        <v>0.52958847736625514</v>
      </c>
      <c r="U168">
        <f>Inputs!$I$3*B168*Inputs!$G$3</f>
        <v>0.20645773829738062</v>
      </c>
      <c r="V168">
        <f>Inputs!$I$4*C168*Inputs!$G$4</f>
        <v>0</v>
      </c>
      <c r="W168">
        <f>Inputs!$I$5*D168*Inputs!$G$5</f>
        <v>0</v>
      </c>
      <c r="X168">
        <f>Inputs!$I$6*E168*Inputs!$G$6</f>
        <v>0.37656981200100598</v>
      </c>
      <c r="Y168">
        <f>Inputs!$I$7*F168*Inputs!$G$7</f>
        <v>0</v>
      </c>
      <c r="Z168">
        <f>Inputs!$I$8*G168*Inputs!$G$8</f>
        <v>0.76006970051755651</v>
      </c>
      <c r="AA168">
        <f>Inputs!$I$9*H168*Inputs!$G$9</f>
        <v>0</v>
      </c>
      <c r="AB168">
        <f t="shared" si="24"/>
        <v>1.8726857281821983</v>
      </c>
      <c r="AD168">
        <f>Inputs!$I$2*ABS(A168-1)*Inputs!$H$2</f>
        <v>0</v>
      </c>
      <c r="AE168">
        <f>Inputs!$I$3*ABS(B168-1)*Inputs!$H$3</f>
        <v>0</v>
      </c>
      <c r="AF168">
        <f>Inputs!$I$4*ABS(C168-1)*Inputs!$H$4</f>
        <v>8.9678988679000853E-3</v>
      </c>
      <c r="AG168">
        <f>Inputs!$I$5*ABS(D168-1)*Inputs!$H$5</f>
        <v>3.0032539984442563E-2</v>
      </c>
      <c r="AH168">
        <f>Inputs!$I$6*ABS(E168-1)*Inputs!$H$6</f>
        <v>0</v>
      </c>
      <c r="AI168">
        <f>Inputs!$I$7*ABS(F168-1)*Inputs!$H$7</f>
        <v>1.49493001411365E-2</v>
      </c>
      <c r="AJ168">
        <f>Inputs!$I$8*ABS(G168-1)*Inputs!$H$8</f>
        <v>0</v>
      </c>
      <c r="AK168">
        <f>Inputs!$I$9*ABS(H168-1)*Inputs!$H$9</f>
        <v>1.3048927592764261E-2</v>
      </c>
      <c r="AL168">
        <f t="shared" si="20"/>
        <v>-6.6998666586243399E-2</v>
      </c>
      <c r="AN168" s="1">
        <f t="shared" si="21"/>
        <v>1.8056870615959548</v>
      </c>
      <c r="AO168">
        <f t="shared" si="25"/>
        <v>2.9438511159243573E-3</v>
      </c>
      <c r="AP168">
        <f t="shared" si="26"/>
        <v>9.950759330460001E-5</v>
      </c>
      <c r="AQ168" s="26">
        <f t="shared" si="22"/>
        <v>1.0016833342556692</v>
      </c>
      <c r="AR168">
        <f t="shared" si="23"/>
        <v>-1.0922939173138418E-4</v>
      </c>
    </row>
    <row r="169" spans="1:44" x14ac:dyDescent="0.25">
      <c r="A169">
        <v>1</v>
      </c>
      <c r="B169">
        <v>1</v>
      </c>
      <c r="C169">
        <v>0</v>
      </c>
      <c r="D169">
        <v>0</v>
      </c>
      <c r="E169">
        <v>0</v>
      </c>
      <c r="F169">
        <v>0</v>
      </c>
      <c r="G169">
        <v>1</v>
      </c>
      <c r="H169">
        <v>0</v>
      </c>
      <c r="J169">
        <f>(A169*Inputs!$E$2+ABS((A169-1))*(1-Inputs!$E$2))</f>
        <v>0.65</v>
      </c>
      <c r="K169">
        <f>(B169*Inputs!$E$3+ABS((B169-1))*(1-Inputs!$E$3))</f>
        <v>0.65</v>
      </c>
      <c r="L169">
        <f>(C169*Inputs!$E$4+ABS((C169-1))*(1-Inputs!$E$4))</f>
        <v>0.35</v>
      </c>
      <c r="M169">
        <f>(D169*Inputs!$E$5+ABS((D169-1))*(1-Inputs!$E$5))</f>
        <v>0.35</v>
      </c>
      <c r="N169">
        <f>(E169*Inputs!$E$6+ABS((E169-1))*(1-Inputs!$E$6))</f>
        <v>0.4</v>
      </c>
      <c r="O169">
        <f>(F169*Inputs!$E$7+ABS((F169-1))*(1-Inputs!$E$7))</f>
        <v>0.25</v>
      </c>
      <c r="P169">
        <f>(G169*Inputs!$E$8+ABS((G169-1))*(1-Inputs!$E$8))</f>
        <v>0.6</v>
      </c>
      <c r="Q169">
        <f>(H169*Inputs!$E$9+ABS((H169-1))*(1-Inputs!$E$9))</f>
        <v>0.35</v>
      </c>
      <c r="R169">
        <f t="shared" si="19"/>
        <v>1.0868812499999997E-3</v>
      </c>
      <c r="T169">
        <f>Inputs!$I$2*A169*Inputs!$G$2</f>
        <v>0.52958847736625514</v>
      </c>
      <c r="U169">
        <f>Inputs!$I$3*B169*Inputs!$G$3</f>
        <v>0.20645773829738062</v>
      </c>
      <c r="V169">
        <f>Inputs!$I$4*C169*Inputs!$G$4</f>
        <v>0</v>
      </c>
      <c r="W169">
        <f>Inputs!$I$5*D169*Inputs!$G$5</f>
        <v>0</v>
      </c>
      <c r="X169">
        <f>Inputs!$I$6*E169*Inputs!$G$6</f>
        <v>0</v>
      </c>
      <c r="Y169">
        <f>Inputs!$I$7*F169*Inputs!$G$7</f>
        <v>0</v>
      </c>
      <c r="Z169">
        <f>Inputs!$I$8*G169*Inputs!$G$8</f>
        <v>0.76006970051755651</v>
      </c>
      <c r="AA169">
        <f>Inputs!$I$9*H169*Inputs!$G$9</f>
        <v>0</v>
      </c>
      <c r="AB169">
        <f t="shared" si="24"/>
        <v>1.4961159161811923</v>
      </c>
      <c r="AD169">
        <f>Inputs!$I$2*ABS(A169-1)*Inputs!$H$2</f>
        <v>0</v>
      </c>
      <c r="AE169">
        <f>Inputs!$I$3*ABS(B169-1)*Inputs!$H$3</f>
        <v>0</v>
      </c>
      <c r="AF169">
        <f>Inputs!$I$4*ABS(C169-1)*Inputs!$H$4</f>
        <v>8.9678988679000853E-3</v>
      </c>
      <c r="AG169">
        <f>Inputs!$I$5*ABS(D169-1)*Inputs!$H$5</f>
        <v>3.0032539984442563E-2</v>
      </c>
      <c r="AH169">
        <f>Inputs!$I$6*ABS(E169-1)*Inputs!$H$6</f>
        <v>6.4042485034184693E-2</v>
      </c>
      <c r="AI169">
        <f>Inputs!$I$7*ABS(F169-1)*Inputs!$H$7</f>
        <v>1.49493001411365E-2</v>
      </c>
      <c r="AJ169">
        <f>Inputs!$I$8*ABS(G169-1)*Inputs!$H$8</f>
        <v>0</v>
      </c>
      <c r="AK169">
        <f>Inputs!$I$9*ABS(H169-1)*Inputs!$H$9</f>
        <v>1.3048927592764261E-2</v>
      </c>
      <c r="AL169">
        <f t="shared" si="20"/>
        <v>-0.13104115162042809</v>
      </c>
      <c r="AN169" s="1">
        <f t="shared" si="21"/>
        <v>1.3650747645607642</v>
      </c>
      <c r="AO169">
        <f t="shared" si="25"/>
        <v>1.4836741664492586E-3</v>
      </c>
      <c r="AP169">
        <f t="shared" si="26"/>
        <v>4.0719913514008546E-5</v>
      </c>
      <c r="AQ169" s="26">
        <f t="shared" si="22"/>
        <v>1.0009360356596086</v>
      </c>
      <c r="AR169">
        <f t="shared" si="23"/>
        <v>-1.4242617067465038E-4</v>
      </c>
    </row>
    <row r="170" spans="1:44" x14ac:dyDescent="0.25">
      <c r="A170">
        <v>1</v>
      </c>
      <c r="B170">
        <v>0</v>
      </c>
      <c r="C170">
        <v>1</v>
      </c>
      <c r="D170">
        <v>1</v>
      </c>
      <c r="E170">
        <v>1</v>
      </c>
      <c r="F170">
        <v>0</v>
      </c>
      <c r="G170">
        <v>1</v>
      </c>
      <c r="H170">
        <v>0</v>
      </c>
      <c r="J170">
        <f>(A170*Inputs!$E$2+ABS((A170-1))*(1-Inputs!$E$2))</f>
        <v>0.65</v>
      </c>
      <c r="K170">
        <f>(B170*Inputs!$E$3+ABS((B170-1))*(1-Inputs!$E$3))</f>
        <v>0.35</v>
      </c>
      <c r="L170">
        <f>(C170*Inputs!$E$4+ABS((C170-1))*(1-Inputs!$E$4))</f>
        <v>0.65</v>
      </c>
      <c r="M170">
        <f>(D170*Inputs!$E$5+ABS((D170-1))*(1-Inputs!$E$5))</f>
        <v>0.65</v>
      </c>
      <c r="N170">
        <f>(E170*Inputs!$E$6+ABS((E170-1))*(1-Inputs!$E$6))</f>
        <v>0.6</v>
      </c>
      <c r="O170">
        <f>(F170*Inputs!$E$7+ABS((F170-1))*(1-Inputs!$E$7))</f>
        <v>0.25</v>
      </c>
      <c r="P170">
        <f>(G170*Inputs!$E$8+ABS((G170-1))*(1-Inputs!$E$8))</f>
        <v>0.6</v>
      </c>
      <c r="Q170">
        <f>(H170*Inputs!$E$9+ABS((H170-1))*(1-Inputs!$E$9))</f>
        <v>0.35</v>
      </c>
      <c r="R170">
        <f t="shared" si="19"/>
        <v>3.0277406249999994E-3</v>
      </c>
      <c r="T170">
        <f>Inputs!$I$2*A170*Inputs!$G$2</f>
        <v>0.52958847736625514</v>
      </c>
      <c r="U170">
        <f>Inputs!$I$3*B170*Inputs!$G$3</f>
        <v>0</v>
      </c>
      <c r="V170">
        <f>Inputs!$I$4*C170*Inputs!$G$4</f>
        <v>0.1422264291528948</v>
      </c>
      <c r="W170">
        <f>Inputs!$I$5*D170*Inputs!$G$5</f>
        <v>0.20551679322687164</v>
      </c>
      <c r="X170">
        <f>Inputs!$I$6*E170*Inputs!$G$6</f>
        <v>0.37656981200100598</v>
      </c>
      <c r="Y170">
        <f>Inputs!$I$7*F170*Inputs!$G$7</f>
        <v>0</v>
      </c>
      <c r="Z170">
        <f>Inputs!$I$8*G170*Inputs!$G$8</f>
        <v>0.76006970051755651</v>
      </c>
      <c r="AA170">
        <f>Inputs!$I$9*H170*Inputs!$G$9</f>
        <v>0</v>
      </c>
      <c r="AB170">
        <f t="shared" si="24"/>
        <v>2.0139712122645843</v>
      </c>
      <c r="AD170">
        <f>Inputs!$I$2*ABS(A170-1)*Inputs!$H$2</f>
        <v>0</v>
      </c>
      <c r="AE170">
        <f>Inputs!$I$3*ABS(B170-1)*Inputs!$H$3</f>
        <v>1.1405796839520112E-2</v>
      </c>
      <c r="AF170">
        <f>Inputs!$I$4*ABS(C170-1)*Inputs!$H$4</f>
        <v>0</v>
      </c>
      <c r="AG170">
        <f>Inputs!$I$5*ABS(D170-1)*Inputs!$H$5</f>
        <v>0</v>
      </c>
      <c r="AH170">
        <f>Inputs!$I$6*ABS(E170-1)*Inputs!$H$6</f>
        <v>0</v>
      </c>
      <c r="AI170">
        <f>Inputs!$I$7*ABS(F170-1)*Inputs!$H$7</f>
        <v>1.49493001411365E-2</v>
      </c>
      <c r="AJ170">
        <f>Inputs!$I$8*ABS(G170-1)*Inputs!$H$8</f>
        <v>0</v>
      </c>
      <c r="AK170">
        <f>Inputs!$I$9*ABS(H170-1)*Inputs!$H$9</f>
        <v>1.3048927592764261E-2</v>
      </c>
      <c r="AL170">
        <f t="shared" si="20"/>
        <v>-3.9404024573420876E-2</v>
      </c>
      <c r="AN170" s="1">
        <f t="shared" si="21"/>
        <v>1.9745671876911635</v>
      </c>
      <c r="AO170">
        <f t="shared" si="25"/>
        <v>5.978477290964534E-3</v>
      </c>
      <c r="AP170">
        <f t="shared" si="26"/>
        <v>5.2380209903453347E-4</v>
      </c>
      <c r="AQ170" s="26">
        <f t="shared" si="22"/>
        <v>1.0033059884159685</v>
      </c>
      <c r="AR170">
        <f t="shared" si="23"/>
        <v>-1.1930516598944465E-4</v>
      </c>
    </row>
    <row r="171" spans="1:44" x14ac:dyDescent="0.25">
      <c r="A171">
        <v>1</v>
      </c>
      <c r="B171">
        <v>0</v>
      </c>
      <c r="C171">
        <v>1</v>
      </c>
      <c r="D171">
        <v>1</v>
      </c>
      <c r="E171">
        <v>0</v>
      </c>
      <c r="F171">
        <v>0</v>
      </c>
      <c r="G171">
        <v>1</v>
      </c>
      <c r="H171">
        <v>0</v>
      </c>
      <c r="J171">
        <f>(A171*Inputs!$E$2+ABS((A171-1))*(1-Inputs!$E$2))</f>
        <v>0.65</v>
      </c>
      <c r="K171">
        <f>(B171*Inputs!$E$3+ABS((B171-1))*(1-Inputs!$E$3))</f>
        <v>0.35</v>
      </c>
      <c r="L171">
        <f>(C171*Inputs!$E$4+ABS((C171-1))*(1-Inputs!$E$4))</f>
        <v>0.65</v>
      </c>
      <c r="M171">
        <f>(D171*Inputs!$E$5+ABS((D171-1))*(1-Inputs!$E$5))</f>
        <v>0.65</v>
      </c>
      <c r="N171">
        <f>(E171*Inputs!$E$6+ABS((E171-1))*(1-Inputs!$E$6))</f>
        <v>0.4</v>
      </c>
      <c r="O171">
        <f>(F171*Inputs!$E$7+ABS((F171-1))*(1-Inputs!$E$7))</f>
        <v>0.25</v>
      </c>
      <c r="P171">
        <f>(G171*Inputs!$E$8+ABS((G171-1))*(1-Inputs!$E$8))</f>
        <v>0.6</v>
      </c>
      <c r="Q171">
        <f>(H171*Inputs!$E$9+ABS((H171-1))*(1-Inputs!$E$9))</f>
        <v>0.35</v>
      </c>
      <c r="R171">
        <f t="shared" si="19"/>
        <v>2.0184937499999993E-3</v>
      </c>
      <c r="T171">
        <f>Inputs!$I$2*A171*Inputs!$G$2</f>
        <v>0.52958847736625514</v>
      </c>
      <c r="U171">
        <f>Inputs!$I$3*B171*Inputs!$G$3</f>
        <v>0</v>
      </c>
      <c r="V171">
        <f>Inputs!$I$4*C171*Inputs!$G$4</f>
        <v>0.1422264291528948</v>
      </c>
      <c r="W171">
        <f>Inputs!$I$5*D171*Inputs!$G$5</f>
        <v>0.20551679322687164</v>
      </c>
      <c r="X171">
        <f>Inputs!$I$6*E171*Inputs!$G$6</f>
        <v>0</v>
      </c>
      <c r="Y171">
        <f>Inputs!$I$7*F171*Inputs!$G$7</f>
        <v>0</v>
      </c>
      <c r="Z171">
        <f>Inputs!$I$8*G171*Inputs!$G$8</f>
        <v>0.76006970051755651</v>
      </c>
      <c r="AA171">
        <f>Inputs!$I$9*H171*Inputs!$G$9</f>
        <v>0</v>
      </c>
      <c r="AB171">
        <f t="shared" si="24"/>
        <v>1.6374014002635779</v>
      </c>
      <c r="AD171">
        <f>Inputs!$I$2*ABS(A171-1)*Inputs!$H$2</f>
        <v>0</v>
      </c>
      <c r="AE171">
        <f>Inputs!$I$3*ABS(B171-1)*Inputs!$H$3</f>
        <v>1.1405796839520112E-2</v>
      </c>
      <c r="AF171">
        <f>Inputs!$I$4*ABS(C171-1)*Inputs!$H$4</f>
        <v>0</v>
      </c>
      <c r="AG171">
        <f>Inputs!$I$5*ABS(D171-1)*Inputs!$H$5</f>
        <v>0</v>
      </c>
      <c r="AH171">
        <f>Inputs!$I$6*ABS(E171-1)*Inputs!$H$6</f>
        <v>6.4042485034184693E-2</v>
      </c>
      <c r="AI171">
        <f>Inputs!$I$7*ABS(F171-1)*Inputs!$H$7</f>
        <v>1.49493001411365E-2</v>
      </c>
      <c r="AJ171">
        <f>Inputs!$I$8*ABS(G171-1)*Inputs!$H$8</f>
        <v>0</v>
      </c>
      <c r="AK171">
        <f>Inputs!$I$9*ABS(H171-1)*Inputs!$H$9</f>
        <v>1.3048927592764261E-2</v>
      </c>
      <c r="AL171">
        <f t="shared" si="20"/>
        <v>-0.10344650960760557</v>
      </c>
      <c r="AN171" s="1">
        <f t="shared" si="21"/>
        <v>1.5339548906559723</v>
      </c>
      <c r="AO171">
        <f t="shared" si="25"/>
        <v>3.0962783595710123E-3</v>
      </c>
      <c r="AP171">
        <f t="shared" si="26"/>
        <v>1.229313030823333E-6</v>
      </c>
      <c r="AQ171" s="26">
        <f t="shared" si="22"/>
        <v>1.0018785199147391</v>
      </c>
      <c r="AR171">
        <f t="shared" si="23"/>
        <v>-2.0880613310226672E-4</v>
      </c>
    </row>
    <row r="172" spans="1:44" x14ac:dyDescent="0.25">
      <c r="A172">
        <v>1</v>
      </c>
      <c r="B172">
        <v>0</v>
      </c>
      <c r="C172">
        <v>1</v>
      </c>
      <c r="D172">
        <v>0</v>
      </c>
      <c r="E172">
        <v>1</v>
      </c>
      <c r="F172">
        <v>0</v>
      </c>
      <c r="G172">
        <v>1</v>
      </c>
      <c r="H172">
        <v>0</v>
      </c>
      <c r="J172">
        <f>(A172*Inputs!$E$2+ABS((A172-1))*(1-Inputs!$E$2))</f>
        <v>0.65</v>
      </c>
      <c r="K172">
        <f>(B172*Inputs!$E$3+ABS((B172-1))*(1-Inputs!$E$3))</f>
        <v>0.35</v>
      </c>
      <c r="L172">
        <f>(C172*Inputs!$E$4+ABS((C172-1))*(1-Inputs!$E$4))</f>
        <v>0.65</v>
      </c>
      <c r="M172">
        <f>(D172*Inputs!$E$5+ABS((D172-1))*(1-Inputs!$E$5))</f>
        <v>0.35</v>
      </c>
      <c r="N172">
        <f>(E172*Inputs!$E$6+ABS((E172-1))*(1-Inputs!$E$6))</f>
        <v>0.6</v>
      </c>
      <c r="O172">
        <f>(F172*Inputs!$E$7+ABS((F172-1))*(1-Inputs!$E$7))</f>
        <v>0.25</v>
      </c>
      <c r="P172">
        <f>(G172*Inputs!$E$8+ABS((G172-1))*(1-Inputs!$E$8))</f>
        <v>0.6</v>
      </c>
      <c r="Q172">
        <f>(H172*Inputs!$E$9+ABS((H172-1))*(1-Inputs!$E$9))</f>
        <v>0.35</v>
      </c>
      <c r="R172">
        <f t="shared" si="19"/>
        <v>1.6303218749999992E-3</v>
      </c>
      <c r="T172">
        <f>Inputs!$I$2*A172*Inputs!$G$2</f>
        <v>0.52958847736625514</v>
      </c>
      <c r="U172">
        <f>Inputs!$I$3*B172*Inputs!$G$3</f>
        <v>0</v>
      </c>
      <c r="V172">
        <f>Inputs!$I$4*C172*Inputs!$G$4</f>
        <v>0.1422264291528948</v>
      </c>
      <c r="W172">
        <f>Inputs!$I$5*D172*Inputs!$G$5</f>
        <v>0</v>
      </c>
      <c r="X172">
        <f>Inputs!$I$6*E172*Inputs!$G$6</f>
        <v>0.37656981200100598</v>
      </c>
      <c r="Y172">
        <f>Inputs!$I$7*F172*Inputs!$G$7</f>
        <v>0</v>
      </c>
      <c r="Z172">
        <f>Inputs!$I$8*G172*Inputs!$G$8</f>
        <v>0.76006970051755651</v>
      </c>
      <c r="AA172">
        <f>Inputs!$I$9*H172*Inputs!$G$9</f>
        <v>0</v>
      </c>
      <c r="AB172">
        <f t="shared" si="24"/>
        <v>1.8084544190377123</v>
      </c>
      <c r="AD172">
        <f>Inputs!$I$2*ABS(A172-1)*Inputs!$H$2</f>
        <v>0</v>
      </c>
      <c r="AE172">
        <f>Inputs!$I$3*ABS(B172-1)*Inputs!$H$3</f>
        <v>1.1405796839520112E-2</v>
      </c>
      <c r="AF172">
        <f>Inputs!$I$4*ABS(C172-1)*Inputs!$H$4</f>
        <v>0</v>
      </c>
      <c r="AG172">
        <f>Inputs!$I$5*ABS(D172-1)*Inputs!$H$5</f>
        <v>3.0032539984442563E-2</v>
      </c>
      <c r="AH172">
        <f>Inputs!$I$6*ABS(E172-1)*Inputs!$H$6</f>
        <v>0</v>
      </c>
      <c r="AI172">
        <f>Inputs!$I$7*ABS(F172-1)*Inputs!$H$7</f>
        <v>1.49493001411365E-2</v>
      </c>
      <c r="AJ172">
        <f>Inputs!$I$8*ABS(G172-1)*Inputs!$H$8</f>
        <v>0</v>
      </c>
      <c r="AK172">
        <f>Inputs!$I$9*ABS(H172-1)*Inputs!$H$9</f>
        <v>1.3048927592764261E-2</v>
      </c>
      <c r="AL172">
        <f t="shared" si="20"/>
        <v>-6.9436564557863428E-2</v>
      </c>
      <c r="AN172" s="1">
        <f t="shared" si="21"/>
        <v>1.7390178544798489</v>
      </c>
      <c r="AO172">
        <f t="shared" si="25"/>
        <v>2.835158849174063E-3</v>
      </c>
      <c r="AP172">
        <f t="shared" si="26"/>
        <v>5.3048358459779306E-5</v>
      </c>
      <c r="AQ172" s="26">
        <f t="shared" si="22"/>
        <v>1.0016440613469366</v>
      </c>
      <c r="AR172">
        <f t="shared" si="23"/>
        <v>-1.1320395012353439E-4</v>
      </c>
    </row>
    <row r="173" spans="1:44" x14ac:dyDescent="0.25">
      <c r="A173">
        <v>1</v>
      </c>
      <c r="B173">
        <v>0</v>
      </c>
      <c r="C173">
        <v>1</v>
      </c>
      <c r="D173">
        <v>0</v>
      </c>
      <c r="E173">
        <v>0</v>
      </c>
      <c r="F173">
        <v>0</v>
      </c>
      <c r="G173">
        <v>1</v>
      </c>
      <c r="H173">
        <v>0</v>
      </c>
      <c r="J173">
        <f>(A173*Inputs!$E$2+ABS((A173-1))*(1-Inputs!$E$2))</f>
        <v>0.65</v>
      </c>
      <c r="K173">
        <f>(B173*Inputs!$E$3+ABS((B173-1))*(1-Inputs!$E$3))</f>
        <v>0.35</v>
      </c>
      <c r="L173">
        <f>(C173*Inputs!$E$4+ABS((C173-1))*(1-Inputs!$E$4))</f>
        <v>0.65</v>
      </c>
      <c r="M173">
        <f>(D173*Inputs!$E$5+ABS((D173-1))*(1-Inputs!$E$5))</f>
        <v>0.35</v>
      </c>
      <c r="N173">
        <f>(E173*Inputs!$E$6+ABS((E173-1))*(1-Inputs!$E$6))</f>
        <v>0.4</v>
      </c>
      <c r="O173">
        <f>(F173*Inputs!$E$7+ABS((F173-1))*(1-Inputs!$E$7))</f>
        <v>0.25</v>
      </c>
      <c r="P173">
        <f>(G173*Inputs!$E$8+ABS((G173-1))*(1-Inputs!$E$8))</f>
        <v>0.6</v>
      </c>
      <c r="Q173">
        <f>(H173*Inputs!$E$9+ABS((H173-1))*(1-Inputs!$E$9))</f>
        <v>0.35</v>
      </c>
      <c r="R173">
        <f t="shared" si="19"/>
        <v>1.0868812499999997E-3</v>
      </c>
      <c r="T173">
        <f>Inputs!$I$2*A173*Inputs!$G$2</f>
        <v>0.52958847736625514</v>
      </c>
      <c r="U173">
        <f>Inputs!$I$3*B173*Inputs!$G$3</f>
        <v>0</v>
      </c>
      <c r="V173">
        <f>Inputs!$I$4*C173*Inputs!$G$4</f>
        <v>0.1422264291528948</v>
      </c>
      <c r="W173">
        <f>Inputs!$I$5*D173*Inputs!$G$5</f>
        <v>0</v>
      </c>
      <c r="X173">
        <f>Inputs!$I$6*E173*Inputs!$G$6</f>
        <v>0</v>
      </c>
      <c r="Y173">
        <f>Inputs!$I$7*F173*Inputs!$G$7</f>
        <v>0</v>
      </c>
      <c r="Z173">
        <f>Inputs!$I$8*G173*Inputs!$G$8</f>
        <v>0.76006970051755651</v>
      </c>
      <c r="AA173">
        <f>Inputs!$I$9*H173*Inputs!$G$9</f>
        <v>0</v>
      </c>
      <c r="AB173">
        <f t="shared" si="24"/>
        <v>1.4318846070367064</v>
      </c>
      <c r="AD173">
        <f>Inputs!$I$2*ABS(A173-1)*Inputs!$H$2</f>
        <v>0</v>
      </c>
      <c r="AE173">
        <f>Inputs!$I$3*ABS(B173-1)*Inputs!$H$3</f>
        <v>1.1405796839520112E-2</v>
      </c>
      <c r="AF173">
        <f>Inputs!$I$4*ABS(C173-1)*Inputs!$H$4</f>
        <v>0</v>
      </c>
      <c r="AG173">
        <f>Inputs!$I$5*ABS(D173-1)*Inputs!$H$5</f>
        <v>3.0032539984442563E-2</v>
      </c>
      <c r="AH173">
        <f>Inputs!$I$6*ABS(E173-1)*Inputs!$H$6</f>
        <v>6.4042485034184693E-2</v>
      </c>
      <c r="AI173">
        <f>Inputs!$I$7*ABS(F173-1)*Inputs!$H$7</f>
        <v>1.49493001411365E-2</v>
      </c>
      <c r="AJ173">
        <f>Inputs!$I$8*ABS(G173-1)*Inputs!$H$8</f>
        <v>0</v>
      </c>
      <c r="AK173">
        <f>Inputs!$I$9*ABS(H173-1)*Inputs!$H$9</f>
        <v>1.3048927592764261E-2</v>
      </c>
      <c r="AL173">
        <f t="shared" si="20"/>
        <v>-0.13347904959204812</v>
      </c>
      <c r="AN173" s="1">
        <f t="shared" si="21"/>
        <v>1.2984055574446582</v>
      </c>
      <c r="AO173">
        <f t="shared" si="25"/>
        <v>1.4112126552823965E-3</v>
      </c>
      <c r="AP173">
        <f t="shared" si="26"/>
        <v>7.3601956047872531E-5</v>
      </c>
      <c r="AQ173" s="26">
        <f t="shared" si="22"/>
        <v>1.000904928783497</v>
      </c>
      <c r="AR173">
        <f t="shared" si="23"/>
        <v>-1.4507587626941721E-4</v>
      </c>
    </row>
    <row r="174" spans="1:44" x14ac:dyDescent="0.25">
      <c r="A174">
        <v>1</v>
      </c>
      <c r="B174">
        <v>0</v>
      </c>
      <c r="C174">
        <v>0</v>
      </c>
      <c r="D174">
        <v>1</v>
      </c>
      <c r="E174">
        <v>1</v>
      </c>
      <c r="F174">
        <v>0</v>
      </c>
      <c r="G174">
        <v>1</v>
      </c>
      <c r="H174">
        <v>0</v>
      </c>
      <c r="J174">
        <f>(A174*Inputs!$E$2+ABS((A174-1))*(1-Inputs!$E$2))</f>
        <v>0.65</v>
      </c>
      <c r="K174">
        <f>(B174*Inputs!$E$3+ABS((B174-1))*(1-Inputs!$E$3))</f>
        <v>0.35</v>
      </c>
      <c r="L174">
        <f>(C174*Inputs!$E$4+ABS((C174-1))*(1-Inputs!$E$4))</f>
        <v>0.35</v>
      </c>
      <c r="M174">
        <f>(D174*Inputs!$E$5+ABS((D174-1))*(1-Inputs!$E$5))</f>
        <v>0.65</v>
      </c>
      <c r="N174">
        <f>(E174*Inputs!$E$6+ABS((E174-1))*(1-Inputs!$E$6))</f>
        <v>0.6</v>
      </c>
      <c r="O174">
        <f>(F174*Inputs!$E$7+ABS((F174-1))*(1-Inputs!$E$7))</f>
        <v>0.25</v>
      </c>
      <c r="P174">
        <f>(G174*Inputs!$E$8+ABS((G174-1))*(1-Inputs!$E$8))</f>
        <v>0.6</v>
      </c>
      <c r="Q174">
        <f>(H174*Inputs!$E$9+ABS((H174-1))*(1-Inputs!$E$9))</f>
        <v>0.35</v>
      </c>
      <c r="R174">
        <f t="shared" si="19"/>
        <v>1.6303218749999999E-3</v>
      </c>
      <c r="T174">
        <f>Inputs!$I$2*A174*Inputs!$G$2</f>
        <v>0.52958847736625514</v>
      </c>
      <c r="U174">
        <f>Inputs!$I$3*B174*Inputs!$G$3</f>
        <v>0</v>
      </c>
      <c r="V174">
        <f>Inputs!$I$4*C174*Inputs!$G$4</f>
        <v>0</v>
      </c>
      <c r="W174">
        <f>Inputs!$I$5*D174*Inputs!$G$5</f>
        <v>0.20551679322687164</v>
      </c>
      <c r="X174">
        <f>Inputs!$I$6*E174*Inputs!$G$6</f>
        <v>0.37656981200100598</v>
      </c>
      <c r="Y174">
        <f>Inputs!$I$7*F174*Inputs!$G$7</f>
        <v>0</v>
      </c>
      <c r="Z174">
        <f>Inputs!$I$8*G174*Inputs!$G$8</f>
        <v>0.76006970051755651</v>
      </c>
      <c r="AA174">
        <f>Inputs!$I$9*H174*Inputs!$G$9</f>
        <v>0</v>
      </c>
      <c r="AB174">
        <f t="shared" si="24"/>
        <v>1.8717447831116893</v>
      </c>
      <c r="AD174">
        <f>Inputs!$I$2*ABS(A174-1)*Inputs!$H$2</f>
        <v>0</v>
      </c>
      <c r="AE174">
        <f>Inputs!$I$3*ABS(B174-1)*Inputs!$H$3</f>
        <v>1.1405796839520112E-2</v>
      </c>
      <c r="AF174">
        <f>Inputs!$I$4*ABS(C174-1)*Inputs!$H$4</f>
        <v>8.9678988679000853E-3</v>
      </c>
      <c r="AG174">
        <f>Inputs!$I$5*ABS(D174-1)*Inputs!$H$5</f>
        <v>0</v>
      </c>
      <c r="AH174">
        <f>Inputs!$I$6*ABS(E174-1)*Inputs!$H$6</f>
        <v>0</v>
      </c>
      <c r="AI174">
        <f>Inputs!$I$7*ABS(F174-1)*Inputs!$H$7</f>
        <v>1.49493001411365E-2</v>
      </c>
      <c r="AJ174">
        <f>Inputs!$I$8*ABS(G174-1)*Inputs!$H$8</f>
        <v>0</v>
      </c>
      <c r="AK174">
        <f>Inputs!$I$9*ABS(H174-1)*Inputs!$H$9</f>
        <v>1.3048927592764261E-2</v>
      </c>
      <c r="AL174">
        <f t="shared" si="20"/>
        <v>-4.8371923441320956E-2</v>
      </c>
      <c r="AN174" s="1">
        <f t="shared" si="21"/>
        <v>1.8233728596703684</v>
      </c>
      <c r="AO174">
        <f t="shared" si="25"/>
        <v>2.9726846594019065E-3</v>
      </c>
      <c r="AP174">
        <f t="shared" si="26"/>
        <v>1.1426440705784387E-4</v>
      </c>
      <c r="AQ174" s="26">
        <f t="shared" si="22"/>
        <v>1.0016935961194091</v>
      </c>
      <c r="AR174">
        <f t="shared" si="23"/>
        <v>-7.8861804922210823E-5</v>
      </c>
    </row>
    <row r="175" spans="1:44" x14ac:dyDescent="0.25">
      <c r="A175">
        <v>1</v>
      </c>
      <c r="B175">
        <v>0</v>
      </c>
      <c r="C175">
        <v>0</v>
      </c>
      <c r="D175">
        <v>1</v>
      </c>
      <c r="E175">
        <v>0</v>
      </c>
      <c r="F175">
        <v>0</v>
      </c>
      <c r="G175">
        <v>1</v>
      </c>
      <c r="H175">
        <v>0</v>
      </c>
      <c r="J175">
        <f>(A175*Inputs!$E$2+ABS((A175-1))*(1-Inputs!$E$2))</f>
        <v>0.65</v>
      </c>
      <c r="K175">
        <f>(B175*Inputs!$E$3+ABS((B175-1))*(1-Inputs!$E$3))</f>
        <v>0.35</v>
      </c>
      <c r="L175">
        <f>(C175*Inputs!$E$4+ABS((C175-1))*(1-Inputs!$E$4))</f>
        <v>0.35</v>
      </c>
      <c r="M175">
        <f>(D175*Inputs!$E$5+ABS((D175-1))*(1-Inputs!$E$5))</f>
        <v>0.65</v>
      </c>
      <c r="N175">
        <f>(E175*Inputs!$E$6+ABS((E175-1))*(1-Inputs!$E$6))</f>
        <v>0.4</v>
      </c>
      <c r="O175">
        <f>(F175*Inputs!$E$7+ABS((F175-1))*(1-Inputs!$E$7))</f>
        <v>0.25</v>
      </c>
      <c r="P175">
        <f>(G175*Inputs!$E$8+ABS((G175-1))*(1-Inputs!$E$8))</f>
        <v>0.6</v>
      </c>
      <c r="Q175">
        <f>(H175*Inputs!$E$9+ABS((H175-1))*(1-Inputs!$E$9))</f>
        <v>0.35</v>
      </c>
      <c r="R175">
        <f t="shared" si="19"/>
        <v>1.0868812499999997E-3</v>
      </c>
      <c r="T175">
        <f>Inputs!$I$2*A175*Inputs!$G$2</f>
        <v>0.52958847736625514</v>
      </c>
      <c r="U175">
        <f>Inputs!$I$3*B175*Inputs!$G$3</f>
        <v>0</v>
      </c>
      <c r="V175">
        <f>Inputs!$I$4*C175*Inputs!$G$4</f>
        <v>0</v>
      </c>
      <c r="W175">
        <f>Inputs!$I$5*D175*Inputs!$G$5</f>
        <v>0.20551679322687164</v>
      </c>
      <c r="X175">
        <f>Inputs!$I$6*E175*Inputs!$G$6</f>
        <v>0</v>
      </c>
      <c r="Y175">
        <f>Inputs!$I$7*F175*Inputs!$G$7</f>
        <v>0</v>
      </c>
      <c r="Z175">
        <f>Inputs!$I$8*G175*Inputs!$G$8</f>
        <v>0.76006970051755651</v>
      </c>
      <c r="AA175">
        <f>Inputs!$I$9*H175*Inputs!$G$9</f>
        <v>0</v>
      </c>
      <c r="AB175">
        <f t="shared" si="24"/>
        <v>1.4951749711106834</v>
      </c>
      <c r="AD175">
        <f>Inputs!$I$2*ABS(A175-1)*Inputs!$H$2</f>
        <v>0</v>
      </c>
      <c r="AE175">
        <f>Inputs!$I$3*ABS(B175-1)*Inputs!$H$3</f>
        <v>1.1405796839520112E-2</v>
      </c>
      <c r="AF175">
        <f>Inputs!$I$4*ABS(C175-1)*Inputs!$H$4</f>
        <v>8.9678988679000853E-3</v>
      </c>
      <c r="AG175">
        <f>Inputs!$I$5*ABS(D175-1)*Inputs!$H$5</f>
        <v>0</v>
      </c>
      <c r="AH175">
        <f>Inputs!$I$6*ABS(E175-1)*Inputs!$H$6</f>
        <v>6.4042485034184693E-2</v>
      </c>
      <c r="AI175">
        <f>Inputs!$I$7*ABS(F175-1)*Inputs!$H$7</f>
        <v>1.49493001411365E-2</v>
      </c>
      <c r="AJ175">
        <f>Inputs!$I$8*ABS(G175-1)*Inputs!$H$8</f>
        <v>0</v>
      </c>
      <c r="AK175">
        <f>Inputs!$I$9*ABS(H175-1)*Inputs!$H$9</f>
        <v>1.3048927592764261E-2</v>
      </c>
      <c r="AL175">
        <f t="shared" si="20"/>
        <v>-0.11241440847550566</v>
      </c>
      <c r="AN175" s="1">
        <f t="shared" si="21"/>
        <v>1.3827605626351778</v>
      </c>
      <c r="AO175">
        <f t="shared" si="25"/>
        <v>1.5028965287676248E-3</v>
      </c>
      <c r="AP175">
        <f t="shared" si="26"/>
        <v>3.3618570918428353E-5</v>
      </c>
      <c r="AQ175" s="26">
        <f t="shared" si="22"/>
        <v>1.0009441406256405</v>
      </c>
      <c r="AR175">
        <f t="shared" si="23"/>
        <v>-1.2218111280186815E-4</v>
      </c>
    </row>
    <row r="176" spans="1:44" x14ac:dyDescent="0.25">
      <c r="A176">
        <v>1</v>
      </c>
      <c r="B176">
        <v>0</v>
      </c>
      <c r="C176">
        <v>0</v>
      </c>
      <c r="D176">
        <v>0</v>
      </c>
      <c r="E176">
        <v>1</v>
      </c>
      <c r="F176">
        <v>0</v>
      </c>
      <c r="G176">
        <v>1</v>
      </c>
      <c r="H176">
        <v>0</v>
      </c>
      <c r="J176">
        <f>(A176*Inputs!$E$2+ABS((A176-1))*(1-Inputs!$E$2))</f>
        <v>0.65</v>
      </c>
      <c r="K176">
        <f>(B176*Inputs!$E$3+ABS((B176-1))*(1-Inputs!$E$3))</f>
        <v>0.35</v>
      </c>
      <c r="L176">
        <f>(C176*Inputs!$E$4+ABS((C176-1))*(1-Inputs!$E$4))</f>
        <v>0.35</v>
      </c>
      <c r="M176">
        <f>(D176*Inputs!$E$5+ABS((D176-1))*(1-Inputs!$E$5))</f>
        <v>0.35</v>
      </c>
      <c r="N176">
        <f>(E176*Inputs!$E$6+ABS((E176-1))*(1-Inputs!$E$6))</f>
        <v>0.6</v>
      </c>
      <c r="O176">
        <f>(F176*Inputs!$E$7+ABS((F176-1))*(1-Inputs!$E$7))</f>
        <v>0.25</v>
      </c>
      <c r="P176">
        <f>(G176*Inputs!$E$8+ABS((G176-1))*(1-Inputs!$E$8))</f>
        <v>0.6</v>
      </c>
      <c r="Q176">
        <f>(H176*Inputs!$E$9+ABS((H176-1))*(1-Inputs!$E$9))</f>
        <v>0.35</v>
      </c>
      <c r="R176">
        <f t="shared" si="19"/>
        <v>8.778656249999998E-4</v>
      </c>
      <c r="T176">
        <f>Inputs!$I$2*A176*Inputs!$G$2</f>
        <v>0.52958847736625514</v>
      </c>
      <c r="U176">
        <f>Inputs!$I$3*B176*Inputs!$G$3</f>
        <v>0</v>
      </c>
      <c r="V176">
        <f>Inputs!$I$4*C176*Inputs!$G$4</f>
        <v>0</v>
      </c>
      <c r="W176">
        <f>Inputs!$I$5*D176*Inputs!$G$5</f>
        <v>0</v>
      </c>
      <c r="X176">
        <f>Inputs!$I$6*E176*Inputs!$G$6</f>
        <v>0.37656981200100598</v>
      </c>
      <c r="Y176">
        <f>Inputs!$I$7*F176*Inputs!$G$7</f>
        <v>0</v>
      </c>
      <c r="Z176">
        <f>Inputs!$I$8*G176*Inputs!$G$8</f>
        <v>0.76006970051755651</v>
      </c>
      <c r="AA176">
        <f>Inputs!$I$9*H176*Inputs!$G$9</f>
        <v>0</v>
      </c>
      <c r="AB176">
        <f t="shared" si="24"/>
        <v>1.6662279898848176</v>
      </c>
      <c r="AD176">
        <f>Inputs!$I$2*ABS(A176-1)*Inputs!$H$2</f>
        <v>0</v>
      </c>
      <c r="AE176">
        <f>Inputs!$I$3*ABS(B176-1)*Inputs!$H$3</f>
        <v>1.1405796839520112E-2</v>
      </c>
      <c r="AF176">
        <f>Inputs!$I$4*ABS(C176-1)*Inputs!$H$4</f>
        <v>8.9678988679000853E-3</v>
      </c>
      <c r="AG176">
        <f>Inputs!$I$5*ABS(D176-1)*Inputs!$H$5</f>
        <v>3.0032539984442563E-2</v>
      </c>
      <c r="AH176">
        <f>Inputs!$I$6*ABS(E176-1)*Inputs!$H$6</f>
        <v>0</v>
      </c>
      <c r="AI176">
        <f>Inputs!$I$7*ABS(F176-1)*Inputs!$H$7</f>
        <v>1.49493001411365E-2</v>
      </c>
      <c r="AJ176">
        <f>Inputs!$I$8*ABS(G176-1)*Inputs!$H$8</f>
        <v>0</v>
      </c>
      <c r="AK176">
        <f>Inputs!$I$9*ABS(H176-1)*Inputs!$H$9</f>
        <v>1.3048927592764261E-2</v>
      </c>
      <c r="AL176">
        <f t="shared" si="20"/>
        <v>-7.8404463425763515E-2</v>
      </c>
      <c r="AN176" s="1">
        <f t="shared" si="21"/>
        <v>1.5878235264590541</v>
      </c>
      <c r="AO176">
        <f t="shared" si="25"/>
        <v>1.3938956924446813E-3</v>
      </c>
      <c r="AP176">
        <f t="shared" si="26"/>
        <v>7.4800127631414392E-7</v>
      </c>
      <c r="AQ176" s="26">
        <f t="shared" si="22"/>
        <v>1.0008350381729165</v>
      </c>
      <c r="AR176">
        <f t="shared" si="23"/>
        <v>-6.8828583288047513E-5</v>
      </c>
    </row>
    <row r="177" spans="1:44" x14ac:dyDescent="0.25">
      <c r="A177">
        <v>1</v>
      </c>
      <c r="B177">
        <v>0</v>
      </c>
      <c r="C177">
        <v>0</v>
      </c>
      <c r="D177">
        <v>0</v>
      </c>
      <c r="E177">
        <v>0</v>
      </c>
      <c r="F177">
        <v>0</v>
      </c>
      <c r="G177">
        <v>1</v>
      </c>
      <c r="H177">
        <v>0</v>
      </c>
      <c r="J177">
        <f>(A177*Inputs!$E$2+ABS((A177-1))*(1-Inputs!$E$2))</f>
        <v>0.65</v>
      </c>
      <c r="K177">
        <f>(B177*Inputs!$E$3+ABS((B177-1))*(1-Inputs!$E$3))</f>
        <v>0.35</v>
      </c>
      <c r="L177">
        <f>(C177*Inputs!$E$4+ABS((C177-1))*(1-Inputs!$E$4))</f>
        <v>0.35</v>
      </c>
      <c r="M177">
        <f>(D177*Inputs!$E$5+ABS((D177-1))*(1-Inputs!$E$5))</f>
        <v>0.35</v>
      </c>
      <c r="N177">
        <f>(E177*Inputs!$E$6+ABS((E177-1))*(1-Inputs!$E$6))</f>
        <v>0.4</v>
      </c>
      <c r="O177">
        <f>(F177*Inputs!$E$7+ABS((F177-1))*(1-Inputs!$E$7))</f>
        <v>0.25</v>
      </c>
      <c r="P177">
        <f>(G177*Inputs!$E$8+ABS((G177-1))*(1-Inputs!$E$8))</f>
        <v>0.6</v>
      </c>
      <c r="Q177">
        <f>(H177*Inputs!$E$9+ABS((H177-1))*(1-Inputs!$E$9))</f>
        <v>0.35</v>
      </c>
      <c r="R177">
        <f t="shared" si="19"/>
        <v>5.8524374999999976E-4</v>
      </c>
      <c r="T177">
        <f>Inputs!$I$2*A177*Inputs!$G$2</f>
        <v>0.52958847736625514</v>
      </c>
      <c r="U177">
        <f>Inputs!$I$3*B177*Inputs!$G$3</f>
        <v>0</v>
      </c>
      <c r="V177">
        <f>Inputs!$I$4*C177*Inputs!$G$4</f>
        <v>0</v>
      </c>
      <c r="W177">
        <f>Inputs!$I$5*D177*Inputs!$G$5</f>
        <v>0</v>
      </c>
      <c r="X177">
        <f>Inputs!$I$6*E177*Inputs!$G$6</f>
        <v>0</v>
      </c>
      <c r="Y177">
        <f>Inputs!$I$7*F177*Inputs!$G$7</f>
        <v>0</v>
      </c>
      <c r="Z177">
        <f>Inputs!$I$8*G177*Inputs!$G$8</f>
        <v>0.76006970051755651</v>
      </c>
      <c r="AA177">
        <f>Inputs!$I$9*H177*Inputs!$G$9</f>
        <v>0</v>
      </c>
      <c r="AB177">
        <f t="shared" si="24"/>
        <v>1.2896581778838117</v>
      </c>
      <c r="AD177">
        <f>Inputs!$I$2*ABS(A177-1)*Inputs!$H$2</f>
        <v>0</v>
      </c>
      <c r="AE177">
        <f>Inputs!$I$3*ABS(B177-1)*Inputs!$H$3</f>
        <v>1.1405796839520112E-2</v>
      </c>
      <c r="AF177">
        <f>Inputs!$I$4*ABS(C177-1)*Inputs!$H$4</f>
        <v>8.9678988679000853E-3</v>
      </c>
      <c r="AG177">
        <f>Inputs!$I$5*ABS(D177-1)*Inputs!$H$5</f>
        <v>3.0032539984442563E-2</v>
      </c>
      <c r="AH177">
        <f>Inputs!$I$6*ABS(E177-1)*Inputs!$H$6</f>
        <v>6.4042485034184693E-2</v>
      </c>
      <c r="AI177">
        <f>Inputs!$I$7*ABS(F177-1)*Inputs!$H$7</f>
        <v>1.49493001411365E-2</v>
      </c>
      <c r="AJ177">
        <f>Inputs!$I$8*ABS(G177-1)*Inputs!$H$8</f>
        <v>0</v>
      </c>
      <c r="AK177">
        <f>Inputs!$I$9*ABS(H177-1)*Inputs!$H$9</f>
        <v>1.3048927592764261E-2</v>
      </c>
      <c r="AL177">
        <f t="shared" si="20"/>
        <v>-0.14244694845994821</v>
      </c>
      <c r="AN177" s="1">
        <f t="shared" si="21"/>
        <v>1.1472112294238634</v>
      </c>
      <c r="AO177">
        <f t="shared" si="25"/>
        <v>6.7139820195013188E-4</v>
      </c>
      <c r="AP177">
        <f t="shared" si="26"/>
        <v>9.9063119642682639E-5</v>
      </c>
      <c r="AQ177" s="26">
        <f t="shared" si="22"/>
        <v>1.0004473256768009</v>
      </c>
      <c r="AR177">
        <f t="shared" si="23"/>
        <v>-8.3366186292756775E-5</v>
      </c>
    </row>
    <row r="178" spans="1:44" x14ac:dyDescent="0.25">
      <c r="A178">
        <v>0</v>
      </c>
      <c r="B178">
        <v>1</v>
      </c>
      <c r="C178">
        <v>1</v>
      </c>
      <c r="D178">
        <v>1</v>
      </c>
      <c r="E178">
        <v>1</v>
      </c>
      <c r="F178">
        <v>0</v>
      </c>
      <c r="G178">
        <v>1</v>
      </c>
      <c r="H178">
        <v>0</v>
      </c>
      <c r="J178">
        <f>(A178*Inputs!$E$2+ABS((A178-1))*(1-Inputs!$E$2))</f>
        <v>0.35</v>
      </c>
      <c r="K178">
        <f>(B178*Inputs!$E$3+ABS((B178-1))*(1-Inputs!$E$3))</f>
        <v>0.65</v>
      </c>
      <c r="L178">
        <f>(C178*Inputs!$E$4+ABS((C178-1))*(1-Inputs!$E$4))</f>
        <v>0.65</v>
      </c>
      <c r="M178">
        <f>(D178*Inputs!$E$5+ABS((D178-1))*(1-Inputs!$E$5))</f>
        <v>0.65</v>
      </c>
      <c r="N178">
        <f>(E178*Inputs!$E$6+ABS((E178-1))*(1-Inputs!$E$6))</f>
        <v>0.6</v>
      </c>
      <c r="O178">
        <f>(F178*Inputs!$E$7+ABS((F178-1))*(1-Inputs!$E$7))</f>
        <v>0.25</v>
      </c>
      <c r="P178">
        <f>(G178*Inputs!$E$8+ABS((G178-1))*(1-Inputs!$E$8))</f>
        <v>0.6</v>
      </c>
      <c r="Q178">
        <f>(H178*Inputs!$E$9+ABS((H178-1))*(1-Inputs!$E$9))</f>
        <v>0.35</v>
      </c>
      <c r="R178">
        <f t="shared" si="19"/>
        <v>3.0277406249999994E-3</v>
      </c>
      <c r="T178">
        <f>Inputs!$I$2*A178*Inputs!$G$2</f>
        <v>0</v>
      </c>
      <c r="U178">
        <f>Inputs!$I$3*B178*Inputs!$G$3</f>
        <v>0.20645773829738062</v>
      </c>
      <c r="V178">
        <f>Inputs!$I$4*C178*Inputs!$G$4</f>
        <v>0.1422264291528948</v>
      </c>
      <c r="W178">
        <f>Inputs!$I$5*D178*Inputs!$G$5</f>
        <v>0.20551679322687164</v>
      </c>
      <c r="X178">
        <f>Inputs!$I$6*E178*Inputs!$G$6</f>
        <v>0.37656981200100598</v>
      </c>
      <c r="Y178">
        <f>Inputs!$I$7*F178*Inputs!$G$7</f>
        <v>0</v>
      </c>
      <c r="Z178">
        <f>Inputs!$I$8*G178*Inputs!$G$8</f>
        <v>0.76006970051755651</v>
      </c>
      <c r="AA178">
        <f>Inputs!$I$9*H178*Inputs!$G$9</f>
        <v>0</v>
      </c>
      <c r="AB178">
        <f t="shared" si="24"/>
        <v>1.6908404731957096</v>
      </c>
      <c r="AD178">
        <f>Inputs!$I$2*ABS(A178-1)*Inputs!$H$2</f>
        <v>3.0082304526748989E-2</v>
      </c>
      <c r="AE178">
        <f>Inputs!$I$3*ABS(B178-1)*Inputs!$H$3</f>
        <v>0</v>
      </c>
      <c r="AF178">
        <f>Inputs!$I$4*ABS(C178-1)*Inputs!$H$4</f>
        <v>0</v>
      </c>
      <c r="AG178">
        <f>Inputs!$I$5*ABS(D178-1)*Inputs!$H$5</f>
        <v>0</v>
      </c>
      <c r="AH178">
        <f>Inputs!$I$6*ABS(E178-1)*Inputs!$H$6</f>
        <v>0</v>
      </c>
      <c r="AI178">
        <f>Inputs!$I$7*ABS(F178-1)*Inputs!$H$7</f>
        <v>1.49493001411365E-2</v>
      </c>
      <c r="AJ178">
        <f>Inputs!$I$8*ABS(G178-1)*Inputs!$H$8</f>
        <v>0</v>
      </c>
      <c r="AK178">
        <f>Inputs!$I$9*ABS(H178-1)*Inputs!$H$9</f>
        <v>1.3048927592764261E-2</v>
      </c>
      <c r="AL178">
        <f t="shared" si="20"/>
        <v>-5.8080532260649749E-2</v>
      </c>
      <c r="AN178" s="1">
        <f t="shared" si="21"/>
        <v>1.6327599409350599</v>
      </c>
      <c r="AO178">
        <f t="shared" si="25"/>
        <v>4.9435736040416801E-3</v>
      </c>
      <c r="AP178">
        <f t="shared" si="26"/>
        <v>1.6636695184097362E-5</v>
      </c>
      <c r="AQ178" s="26">
        <f t="shared" si="22"/>
        <v>1.0029352513807444</v>
      </c>
      <c r="AR178">
        <f t="shared" si="23"/>
        <v>-1.7585278704719231E-4</v>
      </c>
    </row>
    <row r="179" spans="1:44" x14ac:dyDescent="0.25">
      <c r="A179">
        <v>0</v>
      </c>
      <c r="B179">
        <v>1</v>
      </c>
      <c r="C179">
        <v>1</v>
      </c>
      <c r="D179">
        <v>1</v>
      </c>
      <c r="E179">
        <v>0</v>
      </c>
      <c r="F179">
        <v>0</v>
      </c>
      <c r="G179">
        <v>1</v>
      </c>
      <c r="H179">
        <v>0</v>
      </c>
      <c r="J179">
        <f>(A179*Inputs!$E$2+ABS((A179-1))*(1-Inputs!$E$2))</f>
        <v>0.35</v>
      </c>
      <c r="K179">
        <f>(B179*Inputs!$E$3+ABS((B179-1))*(1-Inputs!$E$3))</f>
        <v>0.65</v>
      </c>
      <c r="L179">
        <f>(C179*Inputs!$E$4+ABS((C179-1))*(1-Inputs!$E$4))</f>
        <v>0.65</v>
      </c>
      <c r="M179">
        <f>(D179*Inputs!$E$5+ABS((D179-1))*(1-Inputs!$E$5))</f>
        <v>0.65</v>
      </c>
      <c r="N179">
        <f>(E179*Inputs!$E$6+ABS((E179-1))*(1-Inputs!$E$6))</f>
        <v>0.4</v>
      </c>
      <c r="O179">
        <f>(F179*Inputs!$E$7+ABS((F179-1))*(1-Inputs!$E$7))</f>
        <v>0.25</v>
      </c>
      <c r="P179">
        <f>(G179*Inputs!$E$8+ABS((G179-1))*(1-Inputs!$E$8))</f>
        <v>0.6</v>
      </c>
      <c r="Q179">
        <f>(H179*Inputs!$E$9+ABS((H179-1))*(1-Inputs!$E$9))</f>
        <v>0.35</v>
      </c>
      <c r="R179">
        <f t="shared" si="19"/>
        <v>2.0184937499999993E-3</v>
      </c>
      <c r="T179">
        <f>Inputs!$I$2*A179*Inputs!$G$2</f>
        <v>0</v>
      </c>
      <c r="U179">
        <f>Inputs!$I$3*B179*Inputs!$G$3</f>
        <v>0.20645773829738062</v>
      </c>
      <c r="V179">
        <f>Inputs!$I$4*C179*Inputs!$G$4</f>
        <v>0.1422264291528948</v>
      </c>
      <c r="W179">
        <f>Inputs!$I$5*D179*Inputs!$G$5</f>
        <v>0.20551679322687164</v>
      </c>
      <c r="X179">
        <f>Inputs!$I$6*E179*Inputs!$G$6</f>
        <v>0</v>
      </c>
      <c r="Y179">
        <f>Inputs!$I$7*F179*Inputs!$G$7</f>
        <v>0</v>
      </c>
      <c r="Z179">
        <f>Inputs!$I$8*G179*Inputs!$G$8</f>
        <v>0.76006970051755651</v>
      </c>
      <c r="AA179">
        <f>Inputs!$I$9*H179*Inputs!$G$9</f>
        <v>0</v>
      </c>
      <c r="AB179">
        <f t="shared" si="24"/>
        <v>1.3142706611947035</v>
      </c>
      <c r="AD179">
        <f>Inputs!$I$2*ABS(A179-1)*Inputs!$H$2</f>
        <v>3.0082304526748989E-2</v>
      </c>
      <c r="AE179">
        <f>Inputs!$I$3*ABS(B179-1)*Inputs!$H$3</f>
        <v>0</v>
      </c>
      <c r="AF179">
        <f>Inputs!$I$4*ABS(C179-1)*Inputs!$H$4</f>
        <v>0</v>
      </c>
      <c r="AG179">
        <f>Inputs!$I$5*ABS(D179-1)*Inputs!$H$5</f>
        <v>0</v>
      </c>
      <c r="AH179">
        <f>Inputs!$I$6*ABS(E179-1)*Inputs!$H$6</f>
        <v>6.4042485034184693E-2</v>
      </c>
      <c r="AI179">
        <f>Inputs!$I$7*ABS(F179-1)*Inputs!$H$7</f>
        <v>1.49493001411365E-2</v>
      </c>
      <c r="AJ179">
        <f>Inputs!$I$8*ABS(G179-1)*Inputs!$H$8</f>
        <v>0</v>
      </c>
      <c r="AK179">
        <f>Inputs!$I$9*ABS(H179-1)*Inputs!$H$9</f>
        <v>1.3048927592764261E-2</v>
      </c>
      <c r="AL179">
        <f t="shared" si="20"/>
        <v>-0.12212301729483444</v>
      </c>
      <c r="AN179" s="1">
        <f t="shared" si="21"/>
        <v>1.192147643899869</v>
      </c>
      <c r="AO179">
        <f t="shared" si="25"/>
        <v>2.4063425682891103E-3</v>
      </c>
      <c r="AP179">
        <f t="shared" si="26"/>
        <v>2.7110743140422146E-4</v>
      </c>
      <c r="AQ179" s="26">
        <f t="shared" si="22"/>
        <v>1.001585534484323</v>
      </c>
      <c r="AR179">
        <f t="shared" si="23"/>
        <v>-2.4650454714076513E-4</v>
      </c>
    </row>
    <row r="180" spans="1:44" x14ac:dyDescent="0.25">
      <c r="A180">
        <v>0</v>
      </c>
      <c r="B180">
        <v>1</v>
      </c>
      <c r="C180">
        <v>1</v>
      </c>
      <c r="D180">
        <v>0</v>
      </c>
      <c r="E180">
        <v>1</v>
      </c>
      <c r="F180">
        <v>0</v>
      </c>
      <c r="G180">
        <v>1</v>
      </c>
      <c r="H180">
        <v>0</v>
      </c>
      <c r="J180">
        <f>(A180*Inputs!$E$2+ABS((A180-1))*(1-Inputs!$E$2))</f>
        <v>0.35</v>
      </c>
      <c r="K180">
        <f>(B180*Inputs!$E$3+ABS((B180-1))*(1-Inputs!$E$3))</f>
        <v>0.65</v>
      </c>
      <c r="L180">
        <f>(C180*Inputs!$E$4+ABS((C180-1))*(1-Inputs!$E$4))</f>
        <v>0.65</v>
      </c>
      <c r="M180">
        <f>(D180*Inputs!$E$5+ABS((D180-1))*(1-Inputs!$E$5))</f>
        <v>0.35</v>
      </c>
      <c r="N180">
        <f>(E180*Inputs!$E$6+ABS((E180-1))*(1-Inputs!$E$6))</f>
        <v>0.6</v>
      </c>
      <c r="O180">
        <f>(F180*Inputs!$E$7+ABS((F180-1))*(1-Inputs!$E$7))</f>
        <v>0.25</v>
      </c>
      <c r="P180">
        <f>(G180*Inputs!$E$8+ABS((G180-1))*(1-Inputs!$E$8))</f>
        <v>0.6</v>
      </c>
      <c r="Q180">
        <f>(H180*Inputs!$E$9+ABS((H180-1))*(1-Inputs!$E$9))</f>
        <v>0.35</v>
      </c>
      <c r="R180">
        <f t="shared" si="19"/>
        <v>1.6303218749999992E-3</v>
      </c>
      <c r="T180">
        <f>Inputs!$I$2*A180*Inputs!$G$2</f>
        <v>0</v>
      </c>
      <c r="U180">
        <f>Inputs!$I$3*B180*Inputs!$G$3</f>
        <v>0.20645773829738062</v>
      </c>
      <c r="V180">
        <f>Inputs!$I$4*C180*Inputs!$G$4</f>
        <v>0.1422264291528948</v>
      </c>
      <c r="W180">
        <f>Inputs!$I$5*D180*Inputs!$G$5</f>
        <v>0</v>
      </c>
      <c r="X180">
        <f>Inputs!$I$6*E180*Inputs!$G$6</f>
        <v>0.37656981200100598</v>
      </c>
      <c r="Y180">
        <f>Inputs!$I$7*F180*Inputs!$G$7</f>
        <v>0</v>
      </c>
      <c r="Z180">
        <f>Inputs!$I$8*G180*Inputs!$G$8</f>
        <v>0.76006970051755651</v>
      </c>
      <c r="AA180">
        <f>Inputs!$I$9*H180*Inputs!$G$9</f>
        <v>0</v>
      </c>
      <c r="AB180">
        <f t="shared" si="24"/>
        <v>1.4853236799688379</v>
      </c>
      <c r="AD180">
        <f>Inputs!$I$2*ABS(A180-1)*Inputs!$H$2</f>
        <v>3.0082304526748989E-2</v>
      </c>
      <c r="AE180">
        <f>Inputs!$I$3*ABS(B180-1)*Inputs!$H$3</f>
        <v>0</v>
      </c>
      <c r="AF180">
        <f>Inputs!$I$4*ABS(C180-1)*Inputs!$H$4</f>
        <v>0</v>
      </c>
      <c r="AG180">
        <f>Inputs!$I$5*ABS(D180-1)*Inputs!$H$5</f>
        <v>3.0032539984442563E-2</v>
      </c>
      <c r="AH180">
        <f>Inputs!$I$6*ABS(E180-1)*Inputs!$H$6</f>
        <v>0</v>
      </c>
      <c r="AI180">
        <f>Inputs!$I$7*ABS(F180-1)*Inputs!$H$7</f>
        <v>1.49493001411365E-2</v>
      </c>
      <c r="AJ180">
        <f>Inputs!$I$8*ABS(G180-1)*Inputs!$H$8</f>
        <v>0</v>
      </c>
      <c r="AK180">
        <f>Inputs!$I$9*ABS(H180-1)*Inputs!$H$9</f>
        <v>1.3048927592764261E-2</v>
      </c>
      <c r="AL180">
        <f t="shared" si="20"/>
        <v>-8.8113072245092308E-2</v>
      </c>
      <c r="AN180" s="1">
        <f t="shared" si="21"/>
        <v>1.3972106077237456</v>
      </c>
      <c r="AO180">
        <f t="shared" si="25"/>
        <v>2.2779030177540655E-3</v>
      </c>
      <c r="AP180">
        <f t="shared" si="26"/>
        <v>4.2481773886200486E-5</v>
      </c>
      <c r="AQ180" s="26">
        <f t="shared" si="22"/>
        <v>1.0014264162603286</v>
      </c>
      <c r="AR180">
        <f t="shared" si="23"/>
        <v>-1.4365266915462928E-4</v>
      </c>
    </row>
    <row r="181" spans="1:44" x14ac:dyDescent="0.25">
      <c r="A181">
        <v>0</v>
      </c>
      <c r="B181">
        <v>1</v>
      </c>
      <c r="C181">
        <v>1</v>
      </c>
      <c r="D181">
        <v>0</v>
      </c>
      <c r="E181">
        <v>0</v>
      </c>
      <c r="F181">
        <v>0</v>
      </c>
      <c r="G181">
        <v>1</v>
      </c>
      <c r="H181">
        <v>0</v>
      </c>
      <c r="J181">
        <f>(A181*Inputs!$E$2+ABS((A181-1))*(1-Inputs!$E$2))</f>
        <v>0.35</v>
      </c>
      <c r="K181">
        <f>(B181*Inputs!$E$3+ABS((B181-1))*(1-Inputs!$E$3))</f>
        <v>0.65</v>
      </c>
      <c r="L181">
        <f>(C181*Inputs!$E$4+ABS((C181-1))*(1-Inputs!$E$4))</f>
        <v>0.65</v>
      </c>
      <c r="M181">
        <f>(D181*Inputs!$E$5+ABS((D181-1))*(1-Inputs!$E$5))</f>
        <v>0.35</v>
      </c>
      <c r="N181">
        <f>(E181*Inputs!$E$6+ABS((E181-1))*(1-Inputs!$E$6))</f>
        <v>0.4</v>
      </c>
      <c r="O181">
        <f>(F181*Inputs!$E$7+ABS((F181-1))*(1-Inputs!$E$7))</f>
        <v>0.25</v>
      </c>
      <c r="P181">
        <f>(G181*Inputs!$E$8+ABS((G181-1))*(1-Inputs!$E$8))</f>
        <v>0.6</v>
      </c>
      <c r="Q181">
        <f>(H181*Inputs!$E$9+ABS((H181-1))*(1-Inputs!$E$9))</f>
        <v>0.35</v>
      </c>
      <c r="R181">
        <f t="shared" si="19"/>
        <v>1.0868812499999997E-3</v>
      </c>
      <c r="T181">
        <f>Inputs!$I$2*A181*Inputs!$G$2</f>
        <v>0</v>
      </c>
      <c r="U181">
        <f>Inputs!$I$3*B181*Inputs!$G$3</f>
        <v>0.20645773829738062</v>
      </c>
      <c r="V181">
        <f>Inputs!$I$4*C181*Inputs!$G$4</f>
        <v>0.1422264291528948</v>
      </c>
      <c r="W181">
        <f>Inputs!$I$5*D181*Inputs!$G$5</f>
        <v>0</v>
      </c>
      <c r="X181">
        <f>Inputs!$I$6*E181*Inputs!$G$6</f>
        <v>0</v>
      </c>
      <c r="Y181">
        <f>Inputs!$I$7*F181*Inputs!$G$7</f>
        <v>0</v>
      </c>
      <c r="Z181">
        <f>Inputs!$I$8*G181*Inputs!$G$8</f>
        <v>0.76006970051755651</v>
      </c>
      <c r="AA181">
        <f>Inputs!$I$9*H181*Inputs!$G$9</f>
        <v>0</v>
      </c>
      <c r="AB181">
        <f t="shared" si="24"/>
        <v>1.1087538679678319</v>
      </c>
      <c r="AD181">
        <f>Inputs!$I$2*ABS(A181-1)*Inputs!$H$2</f>
        <v>3.0082304526748989E-2</v>
      </c>
      <c r="AE181">
        <f>Inputs!$I$3*ABS(B181-1)*Inputs!$H$3</f>
        <v>0</v>
      </c>
      <c r="AF181">
        <f>Inputs!$I$4*ABS(C181-1)*Inputs!$H$4</f>
        <v>0</v>
      </c>
      <c r="AG181">
        <f>Inputs!$I$5*ABS(D181-1)*Inputs!$H$5</f>
        <v>3.0032539984442563E-2</v>
      </c>
      <c r="AH181">
        <f>Inputs!$I$6*ABS(E181-1)*Inputs!$H$6</f>
        <v>6.4042485034184693E-2</v>
      </c>
      <c r="AI181">
        <f>Inputs!$I$7*ABS(F181-1)*Inputs!$H$7</f>
        <v>1.49493001411365E-2</v>
      </c>
      <c r="AJ181">
        <f>Inputs!$I$8*ABS(G181-1)*Inputs!$H$8</f>
        <v>0</v>
      </c>
      <c r="AK181">
        <f>Inputs!$I$9*ABS(H181-1)*Inputs!$H$9</f>
        <v>1.3048927592764261E-2</v>
      </c>
      <c r="AL181">
        <f t="shared" si="20"/>
        <v>-0.15215555727927702</v>
      </c>
      <c r="AN181" s="1">
        <f t="shared" si="21"/>
        <v>0.95659831068855494</v>
      </c>
      <c r="AO181">
        <f t="shared" si="25"/>
        <v>1.0397087676690647E-3</v>
      </c>
      <c r="AP181">
        <f t="shared" si="26"/>
        <v>3.9393592888978029E-4</v>
      </c>
      <c r="AQ181" s="26">
        <f t="shared" si="22"/>
        <v>1.0007297889148503</v>
      </c>
      <c r="AR181">
        <f t="shared" si="23"/>
        <v>-1.6537502229014715E-4</v>
      </c>
    </row>
    <row r="182" spans="1:44" x14ac:dyDescent="0.25">
      <c r="A182">
        <v>0</v>
      </c>
      <c r="B182">
        <v>1</v>
      </c>
      <c r="C182">
        <v>0</v>
      </c>
      <c r="D182">
        <v>1</v>
      </c>
      <c r="E182">
        <v>1</v>
      </c>
      <c r="F182">
        <v>0</v>
      </c>
      <c r="G182">
        <v>1</v>
      </c>
      <c r="H182">
        <v>0</v>
      </c>
      <c r="J182">
        <f>(A182*Inputs!$E$2+ABS((A182-1))*(1-Inputs!$E$2))</f>
        <v>0.35</v>
      </c>
      <c r="K182">
        <f>(B182*Inputs!$E$3+ABS((B182-1))*(1-Inputs!$E$3))</f>
        <v>0.65</v>
      </c>
      <c r="L182">
        <f>(C182*Inputs!$E$4+ABS((C182-1))*(1-Inputs!$E$4))</f>
        <v>0.35</v>
      </c>
      <c r="M182">
        <f>(D182*Inputs!$E$5+ABS((D182-1))*(1-Inputs!$E$5))</f>
        <v>0.65</v>
      </c>
      <c r="N182">
        <f>(E182*Inputs!$E$6+ABS((E182-1))*(1-Inputs!$E$6))</f>
        <v>0.6</v>
      </c>
      <c r="O182">
        <f>(F182*Inputs!$E$7+ABS((F182-1))*(1-Inputs!$E$7))</f>
        <v>0.25</v>
      </c>
      <c r="P182">
        <f>(G182*Inputs!$E$8+ABS((G182-1))*(1-Inputs!$E$8))</f>
        <v>0.6</v>
      </c>
      <c r="Q182">
        <f>(H182*Inputs!$E$9+ABS((H182-1))*(1-Inputs!$E$9))</f>
        <v>0.35</v>
      </c>
      <c r="R182">
        <f t="shared" si="19"/>
        <v>1.6303218749999999E-3</v>
      </c>
      <c r="T182">
        <f>Inputs!$I$2*A182*Inputs!$G$2</f>
        <v>0</v>
      </c>
      <c r="U182">
        <f>Inputs!$I$3*B182*Inputs!$G$3</f>
        <v>0.20645773829738062</v>
      </c>
      <c r="V182">
        <f>Inputs!$I$4*C182*Inputs!$G$4</f>
        <v>0</v>
      </c>
      <c r="W182">
        <f>Inputs!$I$5*D182*Inputs!$G$5</f>
        <v>0.20551679322687164</v>
      </c>
      <c r="X182">
        <f>Inputs!$I$6*E182*Inputs!$G$6</f>
        <v>0.37656981200100598</v>
      </c>
      <c r="Y182">
        <f>Inputs!$I$7*F182*Inputs!$G$7</f>
        <v>0</v>
      </c>
      <c r="Z182">
        <f>Inputs!$I$8*G182*Inputs!$G$8</f>
        <v>0.76006970051755651</v>
      </c>
      <c r="AA182">
        <f>Inputs!$I$9*H182*Inputs!$G$9</f>
        <v>0</v>
      </c>
      <c r="AB182">
        <f t="shared" si="24"/>
        <v>1.5486140440428147</v>
      </c>
      <c r="AD182">
        <f>Inputs!$I$2*ABS(A182-1)*Inputs!$H$2</f>
        <v>3.0082304526748989E-2</v>
      </c>
      <c r="AE182">
        <f>Inputs!$I$3*ABS(B182-1)*Inputs!$H$3</f>
        <v>0</v>
      </c>
      <c r="AF182">
        <f>Inputs!$I$4*ABS(C182-1)*Inputs!$H$4</f>
        <v>8.9678988679000853E-3</v>
      </c>
      <c r="AG182">
        <f>Inputs!$I$5*ABS(D182-1)*Inputs!$H$5</f>
        <v>0</v>
      </c>
      <c r="AH182">
        <f>Inputs!$I$6*ABS(E182-1)*Inputs!$H$6</f>
        <v>0</v>
      </c>
      <c r="AI182">
        <f>Inputs!$I$7*ABS(F182-1)*Inputs!$H$7</f>
        <v>1.49493001411365E-2</v>
      </c>
      <c r="AJ182">
        <f>Inputs!$I$8*ABS(G182-1)*Inputs!$H$8</f>
        <v>0</v>
      </c>
      <c r="AK182">
        <f>Inputs!$I$9*ABS(H182-1)*Inputs!$H$9</f>
        <v>1.3048927592764261E-2</v>
      </c>
      <c r="AL182">
        <f t="shared" si="20"/>
        <v>-6.7048431128549829E-2</v>
      </c>
      <c r="AN182" s="1">
        <f t="shared" si="21"/>
        <v>1.4815656129142649</v>
      </c>
      <c r="AO182">
        <f t="shared" si="25"/>
        <v>2.4154288279819086E-3</v>
      </c>
      <c r="AP182">
        <f t="shared" si="26"/>
        <v>9.6831853805027003E-6</v>
      </c>
      <c r="AQ182" s="26">
        <f t="shared" si="22"/>
        <v>1.0014828810714147</v>
      </c>
      <c r="AR182">
        <f t="shared" si="23"/>
        <v>-1.0931052395330572E-4</v>
      </c>
    </row>
    <row r="183" spans="1:44" x14ac:dyDescent="0.25">
      <c r="A183">
        <v>0</v>
      </c>
      <c r="B183">
        <v>1</v>
      </c>
      <c r="C183">
        <v>0</v>
      </c>
      <c r="D183">
        <v>1</v>
      </c>
      <c r="E183">
        <v>0</v>
      </c>
      <c r="F183">
        <v>0</v>
      </c>
      <c r="G183">
        <v>1</v>
      </c>
      <c r="H183">
        <v>0</v>
      </c>
      <c r="J183">
        <f>(A183*Inputs!$E$2+ABS((A183-1))*(1-Inputs!$E$2))</f>
        <v>0.35</v>
      </c>
      <c r="K183">
        <f>(B183*Inputs!$E$3+ABS((B183-1))*(1-Inputs!$E$3))</f>
        <v>0.65</v>
      </c>
      <c r="L183">
        <f>(C183*Inputs!$E$4+ABS((C183-1))*(1-Inputs!$E$4))</f>
        <v>0.35</v>
      </c>
      <c r="M183">
        <f>(D183*Inputs!$E$5+ABS((D183-1))*(1-Inputs!$E$5))</f>
        <v>0.65</v>
      </c>
      <c r="N183">
        <f>(E183*Inputs!$E$6+ABS((E183-1))*(1-Inputs!$E$6))</f>
        <v>0.4</v>
      </c>
      <c r="O183">
        <f>(F183*Inputs!$E$7+ABS((F183-1))*(1-Inputs!$E$7))</f>
        <v>0.25</v>
      </c>
      <c r="P183">
        <f>(G183*Inputs!$E$8+ABS((G183-1))*(1-Inputs!$E$8))</f>
        <v>0.6</v>
      </c>
      <c r="Q183">
        <f>(H183*Inputs!$E$9+ABS((H183-1))*(1-Inputs!$E$9))</f>
        <v>0.35</v>
      </c>
      <c r="R183">
        <f t="shared" si="19"/>
        <v>1.0868812499999997E-3</v>
      </c>
      <c r="T183">
        <f>Inputs!$I$2*A183*Inputs!$G$2</f>
        <v>0</v>
      </c>
      <c r="U183">
        <f>Inputs!$I$3*B183*Inputs!$G$3</f>
        <v>0.20645773829738062</v>
      </c>
      <c r="V183">
        <f>Inputs!$I$4*C183*Inputs!$G$4</f>
        <v>0</v>
      </c>
      <c r="W183">
        <f>Inputs!$I$5*D183*Inputs!$G$5</f>
        <v>0.20551679322687164</v>
      </c>
      <c r="X183">
        <f>Inputs!$I$6*E183*Inputs!$G$6</f>
        <v>0</v>
      </c>
      <c r="Y183">
        <f>Inputs!$I$7*F183*Inputs!$G$7</f>
        <v>0</v>
      </c>
      <c r="Z183">
        <f>Inputs!$I$8*G183*Inputs!$G$8</f>
        <v>0.76006970051755651</v>
      </c>
      <c r="AA183">
        <f>Inputs!$I$9*H183*Inputs!$G$9</f>
        <v>0</v>
      </c>
      <c r="AB183">
        <f t="shared" si="24"/>
        <v>1.1720442320418087</v>
      </c>
      <c r="AD183">
        <f>Inputs!$I$2*ABS(A183-1)*Inputs!$H$2</f>
        <v>3.0082304526748989E-2</v>
      </c>
      <c r="AE183">
        <f>Inputs!$I$3*ABS(B183-1)*Inputs!$H$3</f>
        <v>0</v>
      </c>
      <c r="AF183">
        <f>Inputs!$I$4*ABS(C183-1)*Inputs!$H$4</f>
        <v>8.9678988679000853E-3</v>
      </c>
      <c r="AG183">
        <f>Inputs!$I$5*ABS(D183-1)*Inputs!$H$5</f>
        <v>0</v>
      </c>
      <c r="AH183">
        <f>Inputs!$I$6*ABS(E183-1)*Inputs!$H$6</f>
        <v>6.4042485034184693E-2</v>
      </c>
      <c r="AI183">
        <f>Inputs!$I$7*ABS(F183-1)*Inputs!$H$7</f>
        <v>1.49493001411365E-2</v>
      </c>
      <c r="AJ183">
        <f>Inputs!$I$8*ABS(G183-1)*Inputs!$H$8</f>
        <v>0</v>
      </c>
      <c r="AK183">
        <f>Inputs!$I$9*ABS(H183-1)*Inputs!$H$9</f>
        <v>1.3048927592764261E-2</v>
      </c>
      <c r="AL183">
        <f t="shared" si="20"/>
        <v>-0.13109091616273452</v>
      </c>
      <c r="AN183" s="1">
        <f t="shared" si="21"/>
        <v>1.0409533158790742</v>
      </c>
      <c r="AO183">
        <f t="shared" si="25"/>
        <v>1.1313926411542928E-3</v>
      </c>
      <c r="AP183">
        <f t="shared" si="26"/>
        <v>2.9127611902449478E-4</v>
      </c>
      <c r="AQ183" s="26">
        <f t="shared" si="22"/>
        <v>1.0007757002720048</v>
      </c>
      <c r="AR183">
        <f t="shared" si="23"/>
        <v>-1.4248025882259807E-4</v>
      </c>
    </row>
    <row r="184" spans="1:44" x14ac:dyDescent="0.25">
      <c r="A184">
        <v>0</v>
      </c>
      <c r="B184">
        <v>1</v>
      </c>
      <c r="C184">
        <v>0</v>
      </c>
      <c r="D184">
        <v>0</v>
      </c>
      <c r="E184">
        <v>1</v>
      </c>
      <c r="F184">
        <v>0</v>
      </c>
      <c r="G184">
        <v>1</v>
      </c>
      <c r="H184">
        <v>0</v>
      </c>
      <c r="J184">
        <f>(A184*Inputs!$E$2+ABS((A184-1))*(1-Inputs!$E$2))</f>
        <v>0.35</v>
      </c>
      <c r="K184">
        <f>(B184*Inputs!$E$3+ABS((B184-1))*(1-Inputs!$E$3))</f>
        <v>0.65</v>
      </c>
      <c r="L184">
        <f>(C184*Inputs!$E$4+ABS((C184-1))*(1-Inputs!$E$4))</f>
        <v>0.35</v>
      </c>
      <c r="M184">
        <f>(D184*Inputs!$E$5+ABS((D184-1))*(1-Inputs!$E$5))</f>
        <v>0.35</v>
      </c>
      <c r="N184">
        <f>(E184*Inputs!$E$6+ABS((E184-1))*(1-Inputs!$E$6))</f>
        <v>0.6</v>
      </c>
      <c r="O184">
        <f>(F184*Inputs!$E$7+ABS((F184-1))*(1-Inputs!$E$7))</f>
        <v>0.25</v>
      </c>
      <c r="P184">
        <f>(G184*Inputs!$E$8+ABS((G184-1))*(1-Inputs!$E$8))</f>
        <v>0.6</v>
      </c>
      <c r="Q184">
        <f>(H184*Inputs!$E$9+ABS((H184-1))*(1-Inputs!$E$9))</f>
        <v>0.35</v>
      </c>
      <c r="R184">
        <f t="shared" si="19"/>
        <v>8.778656249999998E-4</v>
      </c>
      <c r="T184">
        <f>Inputs!$I$2*A184*Inputs!$G$2</f>
        <v>0</v>
      </c>
      <c r="U184">
        <f>Inputs!$I$3*B184*Inputs!$G$3</f>
        <v>0.20645773829738062</v>
      </c>
      <c r="V184">
        <f>Inputs!$I$4*C184*Inputs!$G$4</f>
        <v>0</v>
      </c>
      <c r="W184">
        <f>Inputs!$I$5*D184*Inputs!$G$5</f>
        <v>0</v>
      </c>
      <c r="X184">
        <f>Inputs!$I$6*E184*Inputs!$G$6</f>
        <v>0.37656981200100598</v>
      </c>
      <c r="Y184">
        <f>Inputs!$I$7*F184*Inputs!$G$7</f>
        <v>0</v>
      </c>
      <c r="Z184">
        <f>Inputs!$I$8*G184*Inputs!$G$8</f>
        <v>0.76006970051755651</v>
      </c>
      <c r="AA184">
        <f>Inputs!$I$9*H184*Inputs!$G$9</f>
        <v>0</v>
      </c>
      <c r="AB184">
        <f t="shared" si="24"/>
        <v>1.3430972508159431</v>
      </c>
      <c r="AD184">
        <f>Inputs!$I$2*ABS(A184-1)*Inputs!$H$2</f>
        <v>3.0082304526748989E-2</v>
      </c>
      <c r="AE184">
        <f>Inputs!$I$3*ABS(B184-1)*Inputs!$H$3</f>
        <v>0</v>
      </c>
      <c r="AF184">
        <f>Inputs!$I$4*ABS(C184-1)*Inputs!$H$4</f>
        <v>8.9678988679000853E-3</v>
      </c>
      <c r="AG184">
        <f>Inputs!$I$5*ABS(D184-1)*Inputs!$H$5</f>
        <v>3.0032539984442563E-2</v>
      </c>
      <c r="AH184">
        <f>Inputs!$I$6*ABS(E184-1)*Inputs!$H$6</f>
        <v>0</v>
      </c>
      <c r="AI184">
        <f>Inputs!$I$7*ABS(F184-1)*Inputs!$H$7</f>
        <v>1.49493001411365E-2</v>
      </c>
      <c r="AJ184">
        <f>Inputs!$I$8*ABS(G184-1)*Inputs!$H$8</f>
        <v>0</v>
      </c>
      <c r="AK184">
        <f>Inputs!$I$9*ABS(H184-1)*Inputs!$H$9</f>
        <v>1.3048927592764261E-2</v>
      </c>
      <c r="AL184">
        <f t="shared" si="20"/>
        <v>-9.7080971112992395E-2</v>
      </c>
      <c r="AN184" s="1">
        <f t="shared" si="21"/>
        <v>1.2460162797029508</v>
      </c>
      <c r="AO184">
        <f t="shared" si="25"/>
        <v>1.0938348601416054E-3</v>
      </c>
      <c r="AP184">
        <f t="shared" si="26"/>
        <v>8.5793293701388822E-5</v>
      </c>
      <c r="AQ184" s="26">
        <f t="shared" si="22"/>
        <v>1.0007105844307997</v>
      </c>
      <c r="AR184">
        <f t="shared" si="23"/>
        <v>-8.5224047381714E-5</v>
      </c>
    </row>
    <row r="185" spans="1:44" x14ac:dyDescent="0.25">
      <c r="A185">
        <v>0</v>
      </c>
      <c r="B185">
        <v>1</v>
      </c>
      <c r="C185">
        <v>0</v>
      </c>
      <c r="D185">
        <v>0</v>
      </c>
      <c r="E185">
        <v>0</v>
      </c>
      <c r="F185">
        <v>0</v>
      </c>
      <c r="G185">
        <v>1</v>
      </c>
      <c r="H185">
        <v>0</v>
      </c>
      <c r="J185">
        <f>(A185*Inputs!$E$2+ABS((A185-1))*(1-Inputs!$E$2))</f>
        <v>0.35</v>
      </c>
      <c r="K185">
        <f>(B185*Inputs!$E$3+ABS((B185-1))*(1-Inputs!$E$3))</f>
        <v>0.65</v>
      </c>
      <c r="L185">
        <f>(C185*Inputs!$E$4+ABS((C185-1))*(1-Inputs!$E$4))</f>
        <v>0.35</v>
      </c>
      <c r="M185">
        <f>(D185*Inputs!$E$5+ABS((D185-1))*(1-Inputs!$E$5))</f>
        <v>0.35</v>
      </c>
      <c r="N185">
        <f>(E185*Inputs!$E$6+ABS((E185-1))*(1-Inputs!$E$6))</f>
        <v>0.4</v>
      </c>
      <c r="O185">
        <f>(F185*Inputs!$E$7+ABS((F185-1))*(1-Inputs!$E$7))</f>
        <v>0.25</v>
      </c>
      <c r="P185">
        <f>(G185*Inputs!$E$8+ABS((G185-1))*(1-Inputs!$E$8))</f>
        <v>0.6</v>
      </c>
      <c r="Q185">
        <f>(H185*Inputs!$E$9+ABS((H185-1))*(1-Inputs!$E$9))</f>
        <v>0.35</v>
      </c>
      <c r="R185">
        <f t="shared" si="19"/>
        <v>5.8524374999999976E-4</v>
      </c>
      <c r="T185">
        <f>Inputs!$I$2*A185*Inputs!$G$2</f>
        <v>0</v>
      </c>
      <c r="U185">
        <f>Inputs!$I$3*B185*Inputs!$G$3</f>
        <v>0.20645773829738062</v>
      </c>
      <c r="V185">
        <f>Inputs!$I$4*C185*Inputs!$G$4</f>
        <v>0</v>
      </c>
      <c r="W185">
        <f>Inputs!$I$5*D185*Inputs!$G$5</f>
        <v>0</v>
      </c>
      <c r="X185">
        <f>Inputs!$I$6*E185*Inputs!$G$6</f>
        <v>0</v>
      </c>
      <c r="Y185">
        <f>Inputs!$I$7*F185*Inputs!$G$7</f>
        <v>0</v>
      </c>
      <c r="Z185">
        <f>Inputs!$I$8*G185*Inputs!$G$8</f>
        <v>0.76006970051755651</v>
      </c>
      <c r="AA185">
        <f>Inputs!$I$9*H185*Inputs!$G$9</f>
        <v>0</v>
      </c>
      <c r="AB185">
        <f t="shared" si="24"/>
        <v>0.96652743881493719</v>
      </c>
      <c r="AD185">
        <f>Inputs!$I$2*ABS(A185-1)*Inputs!$H$2</f>
        <v>3.0082304526748989E-2</v>
      </c>
      <c r="AE185">
        <f>Inputs!$I$3*ABS(B185-1)*Inputs!$H$3</f>
        <v>0</v>
      </c>
      <c r="AF185">
        <f>Inputs!$I$4*ABS(C185-1)*Inputs!$H$4</f>
        <v>8.9678988679000853E-3</v>
      </c>
      <c r="AG185">
        <f>Inputs!$I$5*ABS(D185-1)*Inputs!$H$5</f>
        <v>3.0032539984442563E-2</v>
      </c>
      <c r="AH185">
        <f>Inputs!$I$6*ABS(E185-1)*Inputs!$H$6</f>
        <v>6.4042485034184693E-2</v>
      </c>
      <c r="AI185">
        <f>Inputs!$I$7*ABS(F185-1)*Inputs!$H$7</f>
        <v>1.49493001411365E-2</v>
      </c>
      <c r="AJ185">
        <f>Inputs!$I$8*ABS(G185-1)*Inputs!$H$8</f>
        <v>0</v>
      </c>
      <c r="AK185">
        <f>Inputs!$I$9*ABS(H185-1)*Inputs!$H$9</f>
        <v>1.3048927592764261E-2</v>
      </c>
      <c r="AL185">
        <f t="shared" si="20"/>
        <v>-0.1611234561471771</v>
      </c>
      <c r="AN185" s="1">
        <f t="shared" si="21"/>
        <v>0.80540398266776014</v>
      </c>
      <c r="AO185">
        <f t="shared" si="25"/>
        <v>4.7135764708141476E-4</v>
      </c>
      <c r="AP185">
        <f t="shared" si="26"/>
        <v>3.3204063802119818E-4</v>
      </c>
      <c r="AQ185" s="26">
        <f t="shared" si="22"/>
        <v>1.0003458126453193</v>
      </c>
      <c r="AR185">
        <f t="shared" si="23"/>
        <v>-9.4296495688534442E-5</v>
      </c>
    </row>
    <row r="186" spans="1:44" x14ac:dyDescent="0.25">
      <c r="A186">
        <v>0</v>
      </c>
      <c r="B186">
        <v>0</v>
      </c>
      <c r="C186">
        <v>1</v>
      </c>
      <c r="D186">
        <v>1</v>
      </c>
      <c r="E186">
        <v>1</v>
      </c>
      <c r="F186">
        <v>0</v>
      </c>
      <c r="G186">
        <v>1</v>
      </c>
      <c r="H186">
        <v>0</v>
      </c>
      <c r="J186">
        <f>(A186*Inputs!$E$2+ABS((A186-1))*(1-Inputs!$E$2))</f>
        <v>0.35</v>
      </c>
      <c r="K186">
        <f>(B186*Inputs!$E$3+ABS((B186-1))*(1-Inputs!$E$3))</f>
        <v>0.35</v>
      </c>
      <c r="L186">
        <f>(C186*Inputs!$E$4+ABS((C186-1))*(1-Inputs!$E$4))</f>
        <v>0.65</v>
      </c>
      <c r="M186">
        <f>(D186*Inputs!$E$5+ABS((D186-1))*(1-Inputs!$E$5))</f>
        <v>0.65</v>
      </c>
      <c r="N186">
        <f>(E186*Inputs!$E$6+ABS((E186-1))*(1-Inputs!$E$6))</f>
        <v>0.6</v>
      </c>
      <c r="O186">
        <f>(F186*Inputs!$E$7+ABS((F186-1))*(1-Inputs!$E$7))</f>
        <v>0.25</v>
      </c>
      <c r="P186">
        <f>(G186*Inputs!$E$8+ABS((G186-1))*(1-Inputs!$E$8))</f>
        <v>0.6</v>
      </c>
      <c r="Q186">
        <f>(H186*Inputs!$E$9+ABS((H186-1))*(1-Inputs!$E$9))</f>
        <v>0.35</v>
      </c>
      <c r="R186">
        <f t="shared" si="19"/>
        <v>1.6303218749999999E-3</v>
      </c>
      <c r="T186">
        <f>Inputs!$I$2*A186*Inputs!$G$2</f>
        <v>0</v>
      </c>
      <c r="U186">
        <f>Inputs!$I$3*B186*Inputs!$G$3</f>
        <v>0</v>
      </c>
      <c r="V186">
        <f>Inputs!$I$4*C186*Inputs!$G$4</f>
        <v>0.1422264291528948</v>
      </c>
      <c r="W186">
        <f>Inputs!$I$5*D186*Inputs!$G$5</f>
        <v>0.20551679322687164</v>
      </c>
      <c r="X186">
        <f>Inputs!$I$6*E186*Inputs!$G$6</f>
        <v>0.37656981200100598</v>
      </c>
      <c r="Y186">
        <f>Inputs!$I$7*F186*Inputs!$G$7</f>
        <v>0</v>
      </c>
      <c r="Z186">
        <f>Inputs!$I$8*G186*Inputs!$G$8</f>
        <v>0.76006970051755651</v>
      </c>
      <c r="AA186">
        <f>Inputs!$I$9*H186*Inputs!$G$9</f>
        <v>0</v>
      </c>
      <c r="AB186">
        <f t="shared" si="24"/>
        <v>1.4843827348983289</v>
      </c>
      <c r="AD186">
        <f>Inputs!$I$2*ABS(A186-1)*Inputs!$H$2</f>
        <v>3.0082304526748989E-2</v>
      </c>
      <c r="AE186">
        <f>Inputs!$I$3*ABS(B186-1)*Inputs!$H$3</f>
        <v>1.1405796839520112E-2</v>
      </c>
      <c r="AF186">
        <f>Inputs!$I$4*ABS(C186-1)*Inputs!$H$4</f>
        <v>0</v>
      </c>
      <c r="AG186">
        <f>Inputs!$I$5*ABS(D186-1)*Inputs!$H$5</f>
        <v>0</v>
      </c>
      <c r="AH186">
        <f>Inputs!$I$6*ABS(E186-1)*Inputs!$H$6</f>
        <v>0</v>
      </c>
      <c r="AI186">
        <f>Inputs!$I$7*ABS(F186-1)*Inputs!$H$7</f>
        <v>1.49493001411365E-2</v>
      </c>
      <c r="AJ186">
        <f>Inputs!$I$8*ABS(G186-1)*Inputs!$H$8</f>
        <v>0</v>
      </c>
      <c r="AK186">
        <f>Inputs!$I$9*ABS(H186-1)*Inputs!$H$9</f>
        <v>1.3048927592764261E-2</v>
      </c>
      <c r="AL186">
        <f t="shared" si="20"/>
        <v>-6.9486329100169858E-2</v>
      </c>
      <c r="AN186" s="1">
        <f t="shared" si="21"/>
        <v>1.414896405798159</v>
      </c>
      <c r="AO186">
        <f t="shared" si="25"/>
        <v>2.3067365612316152E-3</v>
      </c>
      <c r="AP186">
        <f t="shared" si="26"/>
        <v>3.3682940454885389E-5</v>
      </c>
      <c r="AQ186" s="26">
        <f t="shared" si="22"/>
        <v>1.0014384172299902</v>
      </c>
      <c r="AR186">
        <f t="shared" si="23"/>
        <v>-1.1328508234545597E-4</v>
      </c>
    </row>
    <row r="187" spans="1:44" x14ac:dyDescent="0.25">
      <c r="A187">
        <v>0</v>
      </c>
      <c r="B187">
        <v>0</v>
      </c>
      <c r="C187">
        <v>1</v>
      </c>
      <c r="D187">
        <v>1</v>
      </c>
      <c r="E187">
        <v>0</v>
      </c>
      <c r="F187">
        <v>0</v>
      </c>
      <c r="G187">
        <v>1</v>
      </c>
      <c r="H187">
        <v>0</v>
      </c>
      <c r="J187">
        <f>(A187*Inputs!$E$2+ABS((A187-1))*(1-Inputs!$E$2))</f>
        <v>0.35</v>
      </c>
      <c r="K187">
        <f>(B187*Inputs!$E$3+ABS((B187-1))*(1-Inputs!$E$3))</f>
        <v>0.35</v>
      </c>
      <c r="L187">
        <f>(C187*Inputs!$E$4+ABS((C187-1))*(1-Inputs!$E$4))</f>
        <v>0.65</v>
      </c>
      <c r="M187">
        <f>(D187*Inputs!$E$5+ABS((D187-1))*(1-Inputs!$E$5))</f>
        <v>0.65</v>
      </c>
      <c r="N187">
        <f>(E187*Inputs!$E$6+ABS((E187-1))*(1-Inputs!$E$6))</f>
        <v>0.4</v>
      </c>
      <c r="O187">
        <f>(F187*Inputs!$E$7+ABS((F187-1))*(1-Inputs!$E$7))</f>
        <v>0.25</v>
      </c>
      <c r="P187">
        <f>(G187*Inputs!$E$8+ABS((G187-1))*(1-Inputs!$E$8))</f>
        <v>0.6</v>
      </c>
      <c r="Q187">
        <f>(H187*Inputs!$E$9+ABS((H187-1))*(1-Inputs!$E$9))</f>
        <v>0.35</v>
      </c>
      <c r="R187">
        <f t="shared" si="19"/>
        <v>1.0868812499999997E-3</v>
      </c>
      <c r="T187">
        <f>Inputs!$I$2*A187*Inputs!$G$2</f>
        <v>0</v>
      </c>
      <c r="U187">
        <f>Inputs!$I$3*B187*Inputs!$G$3</f>
        <v>0</v>
      </c>
      <c r="V187">
        <f>Inputs!$I$4*C187*Inputs!$G$4</f>
        <v>0.1422264291528948</v>
      </c>
      <c r="W187">
        <f>Inputs!$I$5*D187*Inputs!$G$5</f>
        <v>0.20551679322687164</v>
      </c>
      <c r="X187">
        <f>Inputs!$I$6*E187*Inputs!$G$6</f>
        <v>0</v>
      </c>
      <c r="Y187">
        <f>Inputs!$I$7*F187*Inputs!$G$7</f>
        <v>0</v>
      </c>
      <c r="Z187">
        <f>Inputs!$I$8*G187*Inputs!$G$8</f>
        <v>0.76006970051755651</v>
      </c>
      <c r="AA187">
        <f>Inputs!$I$9*H187*Inputs!$G$9</f>
        <v>0</v>
      </c>
      <c r="AB187">
        <f t="shared" si="24"/>
        <v>1.107812922897323</v>
      </c>
      <c r="AD187">
        <f>Inputs!$I$2*ABS(A187-1)*Inputs!$H$2</f>
        <v>3.0082304526748989E-2</v>
      </c>
      <c r="AE187">
        <f>Inputs!$I$3*ABS(B187-1)*Inputs!$H$3</f>
        <v>1.1405796839520112E-2</v>
      </c>
      <c r="AF187">
        <f>Inputs!$I$4*ABS(C187-1)*Inputs!$H$4</f>
        <v>0</v>
      </c>
      <c r="AG187">
        <f>Inputs!$I$5*ABS(D187-1)*Inputs!$H$5</f>
        <v>0</v>
      </c>
      <c r="AH187">
        <f>Inputs!$I$6*ABS(E187-1)*Inputs!$H$6</f>
        <v>6.4042485034184693E-2</v>
      </c>
      <c r="AI187">
        <f>Inputs!$I$7*ABS(F187-1)*Inputs!$H$7</f>
        <v>1.49493001411365E-2</v>
      </c>
      <c r="AJ187">
        <f>Inputs!$I$8*ABS(G187-1)*Inputs!$H$8</f>
        <v>0</v>
      </c>
      <c r="AK187">
        <f>Inputs!$I$9*ABS(H187-1)*Inputs!$H$9</f>
        <v>1.3048927592764261E-2</v>
      </c>
      <c r="AL187">
        <f t="shared" si="20"/>
        <v>-0.13352881413435455</v>
      </c>
      <c r="AN187" s="1">
        <f t="shared" si="21"/>
        <v>0.97428410876296845</v>
      </c>
      <c r="AO187">
        <f t="shared" si="25"/>
        <v>1.0589311299874309E-3</v>
      </c>
      <c r="AP187">
        <f t="shared" si="26"/>
        <v>3.7113082150449416E-4</v>
      </c>
      <c r="AQ187" s="26">
        <f t="shared" si="22"/>
        <v>1.0007395763429148</v>
      </c>
      <c r="AR187">
        <f t="shared" si="23"/>
        <v>-1.451299644173649E-4</v>
      </c>
    </row>
    <row r="188" spans="1:44" x14ac:dyDescent="0.25">
      <c r="A188">
        <v>0</v>
      </c>
      <c r="B188">
        <v>0</v>
      </c>
      <c r="C188">
        <v>1</v>
      </c>
      <c r="D188">
        <v>0</v>
      </c>
      <c r="E188">
        <v>1</v>
      </c>
      <c r="F188">
        <v>0</v>
      </c>
      <c r="G188">
        <v>1</v>
      </c>
      <c r="H188">
        <v>0</v>
      </c>
      <c r="J188">
        <f>(A188*Inputs!$E$2+ABS((A188-1))*(1-Inputs!$E$2))</f>
        <v>0.35</v>
      </c>
      <c r="K188">
        <f>(B188*Inputs!$E$3+ABS((B188-1))*(1-Inputs!$E$3))</f>
        <v>0.35</v>
      </c>
      <c r="L188">
        <f>(C188*Inputs!$E$4+ABS((C188-1))*(1-Inputs!$E$4))</f>
        <v>0.65</v>
      </c>
      <c r="M188">
        <f>(D188*Inputs!$E$5+ABS((D188-1))*(1-Inputs!$E$5))</f>
        <v>0.35</v>
      </c>
      <c r="N188">
        <f>(E188*Inputs!$E$6+ABS((E188-1))*(1-Inputs!$E$6))</f>
        <v>0.6</v>
      </c>
      <c r="O188">
        <f>(F188*Inputs!$E$7+ABS((F188-1))*(1-Inputs!$E$7))</f>
        <v>0.25</v>
      </c>
      <c r="P188">
        <f>(G188*Inputs!$E$8+ABS((G188-1))*(1-Inputs!$E$8))</f>
        <v>0.6</v>
      </c>
      <c r="Q188">
        <f>(H188*Inputs!$E$9+ABS((H188-1))*(1-Inputs!$E$9))</f>
        <v>0.35</v>
      </c>
      <c r="R188">
        <f t="shared" si="19"/>
        <v>8.778656249999998E-4</v>
      </c>
      <c r="T188">
        <f>Inputs!$I$2*A188*Inputs!$G$2</f>
        <v>0</v>
      </c>
      <c r="U188">
        <f>Inputs!$I$3*B188*Inputs!$G$3</f>
        <v>0</v>
      </c>
      <c r="V188">
        <f>Inputs!$I$4*C188*Inputs!$G$4</f>
        <v>0.1422264291528948</v>
      </c>
      <c r="W188">
        <f>Inputs!$I$5*D188*Inputs!$G$5</f>
        <v>0</v>
      </c>
      <c r="X188">
        <f>Inputs!$I$6*E188*Inputs!$G$6</f>
        <v>0.37656981200100598</v>
      </c>
      <c r="Y188">
        <f>Inputs!$I$7*F188*Inputs!$G$7</f>
        <v>0</v>
      </c>
      <c r="Z188">
        <f>Inputs!$I$8*G188*Inputs!$G$8</f>
        <v>0.76006970051755651</v>
      </c>
      <c r="AA188">
        <f>Inputs!$I$9*H188*Inputs!$G$9</f>
        <v>0</v>
      </c>
      <c r="AB188">
        <f t="shared" si="24"/>
        <v>1.2788659416714574</v>
      </c>
      <c r="AD188">
        <f>Inputs!$I$2*ABS(A188-1)*Inputs!$H$2</f>
        <v>3.0082304526748989E-2</v>
      </c>
      <c r="AE188">
        <f>Inputs!$I$3*ABS(B188-1)*Inputs!$H$3</f>
        <v>1.1405796839520112E-2</v>
      </c>
      <c r="AF188">
        <f>Inputs!$I$4*ABS(C188-1)*Inputs!$H$4</f>
        <v>0</v>
      </c>
      <c r="AG188">
        <f>Inputs!$I$5*ABS(D188-1)*Inputs!$H$5</f>
        <v>3.0032539984442563E-2</v>
      </c>
      <c r="AH188">
        <f>Inputs!$I$6*ABS(E188-1)*Inputs!$H$6</f>
        <v>0</v>
      </c>
      <c r="AI188">
        <f>Inputs!$I$7*ABS(F188-1)*Inputs!$H$7</f>
        <v>1.49493001411365E-2</v>
      </c>
      <c r="AJ188">
        <f>Inputs!$I$8*ABS(G188-1)*Inputs!$H$8</f>
        <v>0</v>
      </c>
      <c r="AK188">
        <f>Inputs!$I$9*ABS(H188-1)*Inputs!$H$9</f>
        <v>1.3048927592764261E-2</v>
      </c>
      <c r="AL188">
        <f t="shared" si="20"/>
        <v>-9.9518869084612424E-2</v>
      </c>
      <c r="AN188" s="1">
        <f t="shared" si="21"/>
        <v>1.1793470725868449</v>
      </c>
      <c r="AO188">
        <f t="shared" si="25"/>
        <v>1.0353082549683708E-3</v>
      </c>
      <c r="AP188">
        <f t="shared" si="26"/>
        <v>1.262880443887956E-4</v>
      </c>
      <c r="AQ188" s="26">
        <f t="shared" si="22"/>
        <v>1.0006841134518398</v>
      </c>
      <c r="AR188">
        <f t="shared" si="23"/>
        <v>-8.736419420825645E-5</v>
      </c>
    </row>
    <row r="189" spans="1:44" x14ac:dyDescent="0.25">
      <c r="A189">
        <v>0</v>
      </c>
      <c r="B189">
        <v>0</v>
      </c>
      <c r="C189">
        <v>1</v>
      </c>
      <c r="D189">
        <v>0</v>
      </c>
      <c r="E189">
        <v>0</v>
      </c>
      <c r="F189">
        <v>0</v>
      </c>
      <c r="G189">
        <v>1</v>
      </c>
      <c r="H189">
        <v>0</v>
      </c>
      <c r="J189">
        <f>(A189*Inputs!$E$2+ABS((A189-1))*(1-Inputs!$E$2))</f>
        <v>0.35</v>
      </c>
      <c r="K189">
        <f>(B189*Inputs!$E$3+ABS((B189-1))*(1-Inputs!$E$3))</f>
        <v>0.35</v>
      </c>
      <c r="L189">
        <f>(C189*Inputs!$E$4+ABS((C189-1))*(1-Inputs!$E$4))</f>
        <v>0.65</v>
      </c>
      <c r="M189">
        <f>(D189*Inputs!$E$5+ABS((D189-1))*(1-Inputs!$E$5))</f>
        <v>0.35</v>
      </c>
      <c r="N189">
        <f>(E189*Inputs!$E$6+ABS((E189-1))*(1-Inputs!$E$6))</f>
        <v>0.4</v>
      </c>
      <c r="O189">
        <f>(F189*Inputs!$E$7+ABS((F189-1))*(1-Inputs!$E$7))</f>
        <v>0.25</v>
      </c>
      <c r="P189">
        <f>(G189*Inputs!$E$8+ABS((G189-1))*(1-Inputs!$E$8))</f>
        <v>0.6</v>
      </c>
      <c r="Q189">
        <f>(H189*Inputs!$E$9+ABS((H189-1))*(1-Inputs!$E$9))</f>
        <v>0.35</v>
      </c>
      <c r="R189">
        <f t="shared" si="19"/>
        <v>5.8524374999999976E-4</v>
      </c>
      <c r="T189">
        <f>Inputs!$I$2*A189*Inputs!$G$2</f>
        <v>0</v>
      </c>
      <c r="U189">
        <f>Inputs!$I$3*B189*Inputs!$G$3</f>
        <v>0</v>
      </c>
      <c r="V189">
        <f>Inputs!$I$4*C189*Inputs!$G$4</f>
        <v>0.1422264291528948</v>
      </c>
      <c r="W189">
        <f>Inputs!$I$5*D189*Inputs!$G$5</f>
        <v>0</v>
      </c>
      <c r="X189">
        <f>Inputs!$I$6*E189*Inputs!$G$6</f>
        <v>0</v>
      </c>
      <c r="Y189">
        <f>Inputs!$I$7*F189*Inputs!$G$7</f>
        <v>0</v>
      </c>
      <c r="Z189">
        <f>Inputs!$I$8*G189*Inputs!$G$8</f>
        <v>0.76006970051755651</v>
      </c>
      <c r="AA189">
        <f>Inputs!$I$9*H189*Inputs!$G$9</f>
        <v>0</v>
      </c>
      <c r="AB189">
        <f t="shared" si="24"/>
        <v>0.90229612967045125</v>
      </c>
      <c r="AD189">
        <f>Inputs!$I$2*ABS(A189-1)*Inputs!$H$2</f>
        <v>3.0082304526748989E-2</v>
      </c>
      <c r="AE189">
        <f>Inputs!$I$3*ABS(B189-1)*Inputs!$H$3</f>
        <v>1.1405796839520112E-2</v>
      </c>
      <c r="AF189">
        <f>Inputs!$I$4*ABS(C189-1)*Inputs!$H$4</f>
        <v>0</v>
      </c>
      <c r="AG189">
        <f>Inputs!$I$5*ABS(D189-1)*Inputs!$H$5</f>
        <v>3.0032539984442563E-2</v>
      </c>
      <c r="AH189">
        <f>Inputs!$I$6*ABS(E189-1)*Inputs!$H$6</f>
        <v>6.4042485034184693E-2</v>
      </c>
      <c r="AI189">
        <f>Inputs!$I$7*ABS(F189-1)*Inputs!$H$7</f>
        <v>1.49493001411365E-2</v>
      </c>
      <c r="AJ189">
        <f>Inputs!$I$8*ABS(G189-1)*Inputs!$H$8</f>
        <v>0</v>
      </c>
      <c r="AK189">
        <f>Inputs!$I$9*ABS(H189-1)*Inputs!$H$9</f>
        <v>1.3048927592764261E-2</v>
      </c>
      <c r="AL189">
        <f t="shared" si="20"/>
        <v>-0.16356135411879713</v>
      </c>
      <c r="AN189" s="1">
        <f t="shared" si="21"/>
        <v>0.73873477555165412</v>
      </c>
      <c r="AO189">
        <f t="shared" si="25"/>
        <v>4.3233991029925818E-4</v>
      </c>
      <c r="AP189">
        <f t="shared" si="26"/>
        <v>3.9342052773687033E-4</v>
      </c>
      <c r="AQ189" s="26">
        <f t="shared" si="22"/>
        <v>1.0003237844984028</v>
      </c>
      <c r="AR189">
        <f t="shared" si="23"/>
        <v>-9.5723260239562733E-5</v>
      </c>
    </row>
    <row r="190" spans="1:44" x14ac:dyDescent="0.25">
      <c r="A190">
        <v>0</v>
      </c>
      <c r="B190">
        <v>0</v>
      </c>
      <c r="C190">
        <v>0</v>
      </c>
      <c r="D190">
        <v>1</v>
      </c>
      <c r="E190">
        <v>1</v>
      </c>
      <c r="F190">
        <v>0</v>
      </c>
      <c r="G190">
        <v>1</v>
      </c>
      <c r="H190">
        <v>0</v>
      </c>
      <c r="J190">
        <f>(A190*Inputs!$E$2+ABS((A190-1))*(1-Inputs!$E$2))</f>
        <v>0.35</v>
      </c>
      <c r="K190">
        <f>(B190*Inputs!$E$3+ABS((B190-1))*(1-Inputs!$E$3))</f>
        <v>0.35</v>
      </c>
      <c r="L190">
        <f>(C190*Inputs!$E$4+ABS((C190-1))*(1-Inputs!$E$4))</f>
        <v>0.35</v>
      </c>
      <c r="M190">
        <f>(D190*Inputs!$E$5+ABS((D190-1))*(1-Inputs!$E$5))</f>
        <v>0.65</v>
      </c>
      <c r="N190">
        <f>(E190*Inputs!$E$6+ABS((E190-1))*(1-Inputs!$E$6))</f>
        <v>0.6</v>
      </c>
      <c r="O190">
        <f>(F190*Inputs!$E$7+ABS((F190-1))*(1-Inputs!$E$7))</f>
        <v>0.25</v>
      </c>
      <c r="P190">
        <f>(G190*Inputs!$E$8+ABS((G190-1))*(1-Inputs!$E$8))</f>
        <v>0.6</v>
      </c>
      <c r="Q190">
        <f>(H190*Inputs!$E$9+ABS((H190-1))*(1-Inputs!$E$9))</f>
        <v>0.35</v>
      </c>
      <c r="R190">
        <f t="shared" si="19"/>
        <v>8.778656249999998E-4</v>
      </c>
      <c r="T190">
        <f>Inputs!$I$2*A190*Inputs!$G$2</f>
        <v>0</v>
      </c>
      <c r="U190">
        <f>Inputs!$I$3*B190*Inputs!$G$3</f>
        <v>0</v>
      </c>
      <c r="V190">
        <f>Inputs!$I$4*C190*Inputs!$G$4</f>
        <v>0</v>
      </c>
      <c r="W190">
        <f>Inputs!$I$5*D190*Inputs!$G$5</f>
        <v>0.20551679322687164</v>
      </c>
      <c r="X190">
        <f>Inputs!$I$6*E190*Inputs!$G$6</f>
        <v>0.37656981200100598</v>
      </c>
      <c r="Y190">
        <f>Inputs!$I$7*F190*Inputs!$G$7</f>
        <v>0</v>
      </c>
      <c r="Z190">
        <f>Inputs!$I$8*G190*Inputs!$G$8</f>
        <v>0.76006970051755651</v>
      </c>
      <c r="AA190">
        <f>Inputs!$I$9*H190*Inputs!$G$9</f>
        <v>0</v>
      </c>
      <c r="AB190">
        <f t="shared" si="24"/>
        <v>1.342156305745434</v>
      </c>
      <c r="AD190">
        <f>Inputs!$I$2*ABS(A190-1)*Inputs!$H$2</f>
        <v>3.0082304526748989E-2</v>
      </c>
      <c r="AE190">
        <f>Inputs!$I$3*ABS(B190-1)*Inputs!$H$3</f>
        <v>1.1405796839520112E-2</v>
      </c>
      <c r="AF190">
        <f>Inputs!$I$4*ABS(C190-1)*Inputs!$H$4</f>
        <v>8.9678988679000853E-3</v>
      </c>
      <c r="AG190">
        <f>Inputs!$I$5*ABS(D190-1)*Inputs!$H$5</f>
        <v>0</v>
      </c>
      <c r="AH190">
        <f>Inputs!$I$6*ABS(E190-1)*Inputs!$H$6</f>
        <v>0</v>
      </c>
      <c r="AI190">
        <f>Inputs!$I$7*ABS(F190-1)*Inputs!$H$7</f>
        <v>1.49493001411365E-2</v>
      </c>
      <c r="AJ190">
        <f>Inputs!$I$8*ABS(G190-1)*Inputs!$H$8</f>
        <v>0</v>
      </c>
      <c r="AK190">
        <f>Inputs!$I$9*ABS(H190-1)*Inputs!$H$9</f>
        <v>1.3048927592764261E-2</v>
      </c>
      <c r="AL190">
        <f t="shared" si="20"/>
        <v>-7.8454227968069945E-2</v>
      </c>
      <c r="AN190" s="1">
        <f t="shared" si="21"/>
        <v>1.263702077777364</v>
      </c>
      <c r="AO190">
        <f t="shared" si="25"/>
        <v>1.1093606143218241E-3</v>
      </c>
      <c r="AP190">
        <f t="shared" si="26"/>
        <v>7.6360648374707745E-5</v>
      </c>
      <c r="AQ190" s="26">
        <f t="shared" si="22"/>
        <v>1.0007174748476504</v>
      </c>
      <c r="AR190">
        <f t="shared" si="23"/>
        <v>-6.8872269869082187E-5</v>
      </c>
    </row>
    <row r="191" spans="1:44" x14ac:dyDescent="0.25">
      <c r="A191">
        <v>0</v>
      </c>
      <c r="B191">
        <v>0</v>
      </c>
      <c r="C191">
        <v>0</v>
      </c>
      <c r="D191">
        <v>1</v>
      </c>
      <c r="E191">
        <v>0</v>
      </c>
      <c r="F191">
        <v>0</v>
      </c>
      <c r="G191">
        <v>1</v>
      </c>
      <c r="H191">
        <v>0</v>
      </c>
      <c r="J191">
        <f>(A191*Inputs!$E$2+ABS((A191-1))*(1-Inputs!$E$2))</f>
        <v>0.35</v>
      </c>
      <c r="K191">
        <f>(B191*Inputs!$E$3+ABS((B191-1))*(1-Inputs!$E$3))</f>
        <v>0.35</v>
      </c>
      <c r="L191">
        <f>(C191*Inputs!$E$4+ABS((C191-1))*(1-Inputs!$E$4))</f>
        <v>0.35</v>
      </c>
      <c r="M191">
        <f>(D191*Inputs!$E$5+ABS((D191-1))*(1-Inputs!$E$5))</f>
        <v>0.65</v>
      </c>
      <c r="N191">
        <f>(E191*Inputs!$E$6+ABS((E191-1))*(1-Inputs!$E$6))</f>
        <v>0.4</v>
      </c>
      <c r="O191">
        <f>(F191*Inputs!$E$7+ABS((F191-1))*(1-Inputs!$E$7))</f>
        <v>0.25</v>
      </c>
      <c r="P191">
        <f>(G191*Inputs!$E$8+ABS((G191-1))*(1-Inputs!$E$8))</f>
        <v>0.6</v>
      </c>
      <c r="Q191">
        <f>(H191*Inputs!$E$9+ABS((H191-1))*(1-Inputs!$E$9))</f>
        <v>0.35</v>
      </c>
      <c r="R191">
        <f t="shared" si="19"/>
        <v>5.8524374999999976E-4</v>
      </c>
      <c r="T191">
        <f>Inputs!$I$2*A191*Inputs!$G$2</f>
        <v>0</v>
      </c>
      <c r="U191">
        <f>Inputs!$I$3*B191*Inputs!$G$3</f>
        <v>0</v>
      </c>
      <c r="V191">
        <f>Inputs!$I$4*C191*Inputs!$G$4</f>
        <v>0</v>
      </c>
      <c r="W191">
        <f>Inputs!$I$5*D191*Inputs!$G$5</f>
        <v>0.20551679322687164</v>
      </c>
      <c r="X191">
        <f>Inputs!$I$6*E191*Inputs!$G$6</f>
        <v>0</v>
      </c>
      <c r="Y191">
        <f>Inputs!$I$7*F191*Inputs!$G$7</f>
        <v>0</v>
      </c>
      <c r="Z191">
        <f>Inputs!$I$8*G191*Inputs!$G$8</f>
        <v>0.76006970051755651</v>
      </c>
      <c r="AA191">
        <f>Inputs!$I$9*H191*Inputs!$G$9</f>
        <v>0</v>
      </c>
      <c r="AB191">
        <f t="shared" si="24"/>
        <v>0.96558649374442818</v>
      </c>
      <c r="AD191">
        <f>Inputs!$I$2*ABS(A191-1)*Inputs!$H$2</f>
        <v>3.0082304526748989E-2</v>
      </c>
      <c r="AE191">
        <f>Inputs!$I$3*ABS(B191-1)*Inputs!$H$3</f>
        <v>1.1405796839520112E-2</v>
      </c>
      <c r="AF191">
        <f>Inputs!$I$4*ABS(C191-1)*Inputs!$H$4</f>
        <v>8.9678988679000853E-3</v>
      </c>
      <c r="AG191">
        <f>Inputs!$I$5*ABS(D191-1)*Inputs!$H$5</f>
        <v>0</v>
      </c>
      <c r="AH191">
        <f>Inputs!$I$6*ABS(E191-1)*Inputs!$H$6</f>
        <v>6.4042485034184693E-2</v>
      </c>
      <c r="AI191">
        <f>Inputs!$I$7*ABS(F191-1)*Inputs!$H$7</f>
        <v>1.49493001411365E-2</v>
      </c>
      <c r="AJ191">
        <f>Inputs!$I$8*ABS(G191-1)*Inputs!$H$8</f>
        <v>0</v>
      </c>
      <c r="AK191">
        <f>Inputs!$I$9*ABS(H191-1)*Inputs!$H$9</f>
        <v>1.3048927592764261E-2</v>
      </c>
      <c r="AL191">
        <f t="shared" si="20"/>
        <v>-0.14249671300225464</v>
      </c>
      <c r="AN191" s="1">
        <f t="shared" si="21"/>
        <v>0.82308978074217354</v>
      </c>
      <c r="AO191">
        <f t="shared" si="25"/>
        <v>4.8170814986822722E-4</v>
      </c>
      <c r="AP191">
        <f t="shared" si="26"/>
        <v>3.1663109018667757E-4</v>
      </c>
      <c r="AQ191" s="26">
        <f t="shared" si="22"/>
        <v>1.0003515198033461</v>
      </c>
      <c r="AR191">
        <f t="shared" si="23"/>
        <v>-8.3395310680113224E-5</v>
      </c>
    </row>
    <row r="192" spans="1:44" x14ac:dyDescent="0.25">
      <c r="A192">
        <v>0</v>
      </c>
      <c r="B192">
        <v>0</v>
      </c>
      <c r="C192">
        <v>0</v>
      </c>
      <c r="D192">
        <v>0</v>
      </c>
      <c r="E192">
        <v>1</v>
      </c>
      <c r="F192">
        <v>0</v>
      </c>
      <c r="G192">
        <v>1</v>
      </c>
      <c r="H192">
        <v>0</v>
      </c>
      <c r="J192">
        <f>(A192*Inputs!$E$2+ABS((A192-1))*(1-Inputs!$E$2))</f>
        <v>0.35</v>
      </c>
      <c r="K192">
        <f>(B192*Inputs!$E$3+ABS((B192-1))*(1-Inputs!$E$3))</f>
        <v>0.35</v>
      </c>
      <c r="L192">
        <f>(C192*Inputs!$E$4+ABS((C192-1))*(1-Inputs!$E$4))</f>
        <v>0.35</v>
      </c>
      <c r="M192">
        <f>(D192*Inputs!$E$5+ABS((D192-1))*(1-Inputs!$E$5))</f>
        <v>0.35</v>
      </c>
      <c r="N192">
        <f>(E192*Inputs!$E$6+ABS((E192-1))*(1-Inputs!$E$6))</f>
        <v>0.6</v>
      </c>
      <c r="O192">
        <f>(F192*Inputs!$E$7+ABS((F192-1))*(1-Inputs!$E$7))</f>
        <v>0.25</v>
      </c>
      <c r="P192">
        <f>(G192*Inputs!$E$8+ABS((G192-1))*(1-Inputs!$E$8))</f>
        <v>0.6</v>
      </c>
      <c r="Q192">
        <f>(H192*Inputs!$E$9+ABS((H192-1))*(1-Inputs!$E$9))</f>
        <v>0.35</v>
      </c>
      <c r="R192">
        <f t="shared" si="19"/>
        <v>4.7269687499999974E-4</v>
      </c>
      <c r="T192">
        <f>Inputs!$I$2*A192*Inputs!$G$2</f>
        <v>0</v>
      </c>
      <c r="U192">
        <f>Inputs!$I$3*B192*Inputs!$G$3</f>
        <v>0</v>
      </c>
      <c r="V192">
        <f>Inputs!$I$4*C192*Inputs!$G$4</f>
        <v>0</v>
      </c>
      <c r="W192">
        <f>Inputs!$I$5*D192*Inputs!$G$5</f>
        <v>0</v>
      </c>
      <c r="X192">
        <f>Inputs!$I$6*E192*Inputs!$G$6</f>
        <v>0.37656981200100598</v>
      </c>
      <c r="Y192">
        <f>Inputs!$I$7*F192*Inputs!$G$7</f>
        <v>0</v>
      </c>
      <c r="Z192">
        <f>Inputs!$I$8*G192*Inputs!$G$8</f>
        <v>0.76006970051755651</v>
      </c>
      <c r="AA192">
        <f>Inputs!$I$9*H192*Inputs!$G$9</f>
        <v>0</v>
      </c>
      <c r="AB192">
        <f t="shared" si="24"/>
        <v>1.1366395125185624</v>
      </c>
      <c r="AD192">
        <f>Inputs!$I$2*ABS(A192-1)*Inputs!$H$2</f>
        <v>3.0082304526748989E-2</v>
      </c>
      <c r="AE192">
        <f>Inputs!$I$3*ABS(B192-1)*Inputs!$H$3</f>
        <v>1.1405796839520112E-2</v>
      </c>
      <c r="AF192">
        <f>Inputs!$I$4*ABS(C192-1)*Inputs!$H$4</f>
        <v>8.9678988679000853E-3</v>
      </c>
      <c r="AG192">
        <f>Inputs!$I$5*ABS(D192-1)*Inputs!$H$5</f>
        <v>3.0032539984442563E-2</v>
      </c>
      <c r="AH192">
        <f>Inputs!$I$6*ABS(E192-1)*Inputs!$H$6</f>
        <v>0</v>
      </c>
      <c r="AI192">
        <f>Inputs!$I$7*ABS(F192-1)*Inputs!$H$7</f>
        <v>1.49493001411365E-2</v>
      </c>
      <c r="AJ192">
        <f>Inputs!$I$8*ABS(G192-1)*Inputs!$H$8</f>
        <v>0</v>
      </c>
      <c r="AK192">
        <f>Inputs!$I$9*ABS(H192-1)*Inputs!$H$9</f>
        <v>1.3048927592764261E-2</v>
      </c>
      <c r="AL192">
        <f t="shared" si="20"/>
        <v>-0.10848676795251251</v>
      </c>
      <c r="AN192" s="1">
        <f t="shared" si="21"/>
        <v>1.0281527445660499</v>
      </c>
      <c r="AO192">
        <f t="shared" si="25"/>
        <v>4.8600458937904476E-4</v>
      </c>
      <c r="AP192">
        <f t="shared" si="26"/>
        <v>1.3302145849497537E-4</v>
      </c>
      <c r="AQ192" s="26">
        <f t="shared" si="22"/>
        <v>1.0003343118369068</v>
      </c>
      <c r="AR192">
        <f t="shared" si="23"/>
        <v>-5.1281356190002785E-5</v>
      </c>
    </row>
    <row r="193" spans="1:44" x14ac:dyDescent="0.25">
      <c r="A193">
        <v>0</v>
      </c>
      <c r="B193">
        <v>0</v>
      </c>
      <c r="C193">
        <v>0</v>
      </c>
      <c r="D193">
        <v>0</v>
      </c>
      <c r="E193">
        <v>0</v>
      </c>
      <c r="F193">
        <v>0</v>
      </c>
      <c r="G193">
        <v>1</v>
      </c>
      <c r="H193">
        <v>0</v>
      </c>
      <c r="J193">
        <f>(A193*Inputs!$E$2+ABS((A193-1))*(1-Inputs!$E$2))</f>
        <v>0.35</v>
      </c>
      <c r="K193">
        <f>(B193*Inputs!$E$3+ABS((B193-1))*(1-Inputs!$E$3))</f>
        <v>0.35</v>
      </c>
      <c r="L193">
        <f>(C193*Inputs!$E$4+ABS((C193-1))*(1-Inputs!$E$4))</f>
        <v>0.35</v>
      </c>
      <c r="M193">
        <f>(D193*Inputs!$E$5+ABS((D193-1))*(1-Inputs!$E$5))</f>
        <v>0.35</v>
      </c>
      <c r="N193">
        <f>(E193*Inputs!$E$6+ABS((E193-1))*(1-Inputs!$E$6))</f>
        <v>0.4</v>
      </c>
      <c r="O193">
        <f>(F193*Inputs!$E$7+ABS((F193-1))*(1-Inputs!$E$7))</f>
        <v>0.25</v>
      </c>
      <c r="P193">
        <f>(G193*Inputs!$E$8+ABS((G193-1))*(1-Inputs!$E$8))</f>
        <v>0.6</v>
      </c>
      <c r="Q193">
        <f>(H193*Inputs!$E$9+ABS((H193-1))*(1-Inputs!$E$9))</f>
        <v>0.35</v>
      </c>
      <c r="R193">
        <f t="shared" si="19"/>
        <v>3.1513124999999988E-4</v>
      </c>
      <c r="T193">
        <f>Inputs!$I$2*A193*Inputs!$G$2</f>
        <v>0</v>
      </c>
      <c r="U193">
        <f>Inputs!$I$3*B193*Inputs!$G$3</f>
        <v>0</v>
      </c>
      <c r="V193">
        <f>Inputs!$I$4*C193*Inputs!$G$4</f>
        <v>0</v>
      </c>
      <c r="W193">
        <f>Inputs!$I$5*D193*Inputs!$G$5</f>
        <v>0</v>
      </c>
      <c r="X193">
        <f>Inputs!$I$6*E193*Inputs!$G$6</f>
        <v>0</v>
      </c>
      <c r="Y193">
        <f>Inputs!$I$7*F193*Inputs!$G$7</f>
        <v>0</v>
      </c>
      <c r="Z193">
        <f>Inputs!$I$8*G193*Inputs!$G$8</f>
        <v>0.76006970051755651</v>
      </c>
      <c r="AA193">
        <f>Inputs!$I$9*H193*Inputs!$G$9</f>
        <v>0</v>
      </c>
      <c r="AB193">
        <f t="shared" si="24"/>
        <v>0.76006970051755651</v>
      </c>
      <c r="AD193">
        <f>Inputs!$I$2*ABS(A193-1)*Inputs!$H$2</f>
        <v>3.0082304526748989E-2</v>
      </c>
      <c r="AE193">
        <f>Inputs!$I$3*ABS(B193-1)*Inputs!$H$3</f>
        <v>1.1405796839520112E-2</v>
      </c>
      <c r="AF193">
        <f>Inputs!$I$4*ABS(C193-1)*Inputs!$H$4</f>
        <v>8.9678988679000853E-3</v>
      </c>
      <c r="AG193">
        <f>Inputs!$I$5*ABS(D193-1)*Inputs!$H$5</f>
        <v>3.0032539984442563E-2</v>
      </c>
      <c r="AH193">
        <f>Inputs!$I$6*ABS(E193-1)*Inputs!$H$6</f>
        <v>6.4042485034184693E-2</v>
      </c>
      <c r="AI193">
        <f>Inputs!$I$7*ABS(F193-1)*Inputs!$H$7</f>
        <v>1.49493001411365E-2</v>
      </c>
      <c r="AJ193">
        <f>Inputs!$I$8*ABS(G193-1)*Inputs!$H$8</f>
        <v>0</v>
      </c>
      <c r="AK193">
        <f>Inputs!$I$9*ABS(H193-1)*Inputs!$H$9</f>
        <v>1.3048927592764261E-2</v>
      </c>
      <c r="AL193">
        <f t="shared" si="20"/>
        <v>-0.17252925298669719</v>
      </c>
      <c r="AN193" s="1">
        <f t="shared" si="21"/>
        <v>0.58754044753085932</v>
      </c>
      <c r="AO193">
        <f t="shared" si="25"/>
        <v>1.8515235565595903E-4</v>
      </c>
      <c r="AP193">
        <f t="shared" si="26"/>
        <v>2.9717550292877859E-4</v>
      </c>
      <c r="AQ193" s="26">
        <f t="shared" si="22"/>
        <v>1.0001456598372866</v>
      </c>
      <c r="AR193">
        <f t="shared" si="23"/>
        <v>-5.4369359155264096E-5</v>
      </c>
    </row>
    <row r="194" spans="1:44" x14ac:dyDescent="0.25">
      <c r="A194">
        <v>1</v>
      </c>
      <c r="B194">
        <v>1</v>
      </c>
      <c r="C194">
        <v>1</v>
      </c>
      <c r="D194">
        <v>1</v>
      </c>
      <c r="E194">
        <v>1</v>
      </c>
      <c r="F194">
        <v>1</v>
      </c>
      <c r="G194">
        <v>0</v>
      </c>
      <c r="H194">
        <v>0</v>
      </c>
      <c r="J194">
        <f>(A194*Inputs!$E$2+ABS((A194-1))*(1-Inputs!$E$2))</f>
        <v>0.65</v>
      </c>
      <c r="K194">
        <f>(B194*Inputs!$E$3+ABS((B194-1))*(1-Inputs!$E$3))</f>
        <v>0.65</v>
      </c>
      <c r="L194">
        <f>(C194*Inputs!$E$4+ABS((C194-1))*(1-Inputs!$E$4))</f>
        <v>0.65</v>
      </c>
      <c r="M194">
        <f>(D194*Inputs!$E$5+ABS((D194-1))*(1-Inputs!$E$5))</f>
        <v>0.65</v>
      </c>
      <c r="N194">
        <f>(E194*Inputs!$E$6+ABS((E194-1))*(1-Inputs!$E$6))</f>
        <v>0.6</v>
      </c>
      <c r="O194">
        <f>(F194*Inputs!$E$7+ABS((F194-1))*(1-Inputs!$E$7))</f>
        <v>0.75</v>
      </c>
      <c r="P194">
        <f>(G194*Inputs!$E$8+ABS((G194-1))*(1-Inputs!$E$8))</f>
        <v>0.4</v>
      </c>
      <c r="Q194">
        <f>(H194*Inputs!$E$9+ABS((H194-1))*(1-Inputs!$E$9))</f>
        <v>0.35</v>
      </c>
      <c r="R194">
        <f t="shared" si="19"/>
        <v>1.1245893750000003E-2</v>
      </c>
      <c r="T194">
        <f>Inputs!$I$2*A194*Inputs!$G$2</f>
        <v>0.52958847736625514</v>
      </c>
      <c r="U194">
        <f>Inputs!$I$3*B194*Inputs!$G$3</f>
        <v>0.20645773829738062</v>
      </c>
      <c r="V194">
        <f>Inputs!$I$4*C194*Inputs!$G$4</f>
        <v>0.1422264291528948</v>
      </c>
      <c r="W194">
        <f>Inputs!$I$5*D194*Inputs!$G$5</f>
        <v>0.20551679322687164</v>
      </c>
      <c r="X194">
        <f>Inputs!$I$6*E194*Inputs!$G$6</f>
        <v>0.37656981200100598</v>
      </c>
      <c r="Y194">
        <f>Inputs!$I$7*F194*Inputs!$G$7</f>
        <v>0.19972733373941395</v>
      </c>
      <c r="Z194">
        <f>Inputs!$I$8*G194*Inputs!$G$8</f>
        <v>0</v>
      </c>
      <c r="AA194">
        <f>Inputs!$I$9*H194*Inputs!$G$9</f>
        <v>0</v>
      </c>
      <c r="AB194">
        <f t="shared" si="24"/>
        <v>1.6600865837838219</v>
      </c>
      <c r="AD194">
        <f>Inputs!$I$2*ABS(A194-1)*Inputs!$H$2</f>
        <v>0</v>
      </c>
      <c r="AE194">
        <f>Inputs!$I$3*ABS(B194-1)*Inputs!$H$3</f>
        <v>0</v>
      </c>
      <c r="AF194">
        <f>Inputs!$I$4*ABS(C194-1)*Inputs!$H$4</f>
        <v>0</v>
      </c>
      <c r="AG194">
        <f>Inputs!$I$5*ABS(D194-1)*Inputs!$H$5</f>
        <v>0</v>
      </c>
      <c r="AH194">
        <f>Inputs!$I$6*ABS(E194-1)*Inputs!$H$6</f>
        <v>0</v>
      </c>
      <c r="AI194">
        <f>Inputs!$I$7*ABS(F194-1)*Inputs!$H$7</f>
        <v>0</v>
      </c>
      <c r="AJ194">
        <f>Inputs!$I$8*ABS(G194-1)*Inputs!$H$8</f>
        <v>5.8391635937893226E-2</v>
      </c>
      <c r="AK194">
        <f>Inputs!$I$9*ABS(H194-1)*Inputs!$H$9</f>
        <v>1.3048927592764261E-2</v>
      </c>
      <c r="AL194">
        <f t="shared" si="20"/>
        <v>-7.1440563530657489E-2</v>
      </c>
      <c r="AN194" s="1">
        <f t="shared" si="21"/>
        <v>1.5886460202531645</v>
      </c>
      <c r="AO194">
        <f t="shared" si="25"/>
        <v>1.786574435012744E-2</v>
      </c>
      <c r="AP194">
        <f t="shared" si="26"/>
        <v>1.0129874868460523E-5</v>
      </c>
      <c r="AQ194" s="26">
        <f t="shared" si="22"/>
        <v>1.010753773380483</v>
      </c>
      <c r="AR194">
        <f t="shared" si="23"/>
        <v>-8.0341298690589922E-4</v>
      </c>
    </row>
    <row r="195" spans="1:44" x14ac:dyDescent="0.25">
      <c r="A195">
        <v>1</v>
      </c>
      <c r="B195">
        <v>1</v>
      </c>
      <c r="C195">
        <v>1</v>
      </c>
      <c r="D195">
        <v>1</v>
      </c>
      <c r="E195">
        <v>0</v>
      </c>
      <c r="F195">
        <v>1</v>
      </c>
      <c r="G195">
        <v>0</v>
      </c>
      <c r="H195">
        <v>0</v>
      </c>
      <c r="J195">
        <f>(A195*Inputs!$E$2+ABS((A195-1))*(1-Inputs!$E$2))</f>
        <v>0.65</v>
      </c>
      <c r="K195">
        <f>(B195*Inputs!$E$3+ABS((B195-1))*(1-Inputs!$E$3))</f>
        <v>0.65</v>
      </c>
      <c r="L195">
        <f>(C195*Inputs!$E$4+ABS((C195-1))*(1-Inputs!$E$4))</f>
        <v>0.65</v>
      </c>
      <c r="M195">
        <f>(D195*Inputs!$E$5+ABS((D195-1))*(1-Inputs!$E$5))</f>
        <v>0.65</v>
      </c>
      <c r="N195">
        <f>(E195*Inputs!$E$6+ABS((E195-1))*(1-Inputs!$E$6))</f>
        <v>0.4</v>
      </c>
      <c r="O195">
        <f>(F195*Inputs!$E$7+ABS((F195-1))*(1-Inputs!$E$7))</f>
        <v>0.75</v>
      </c>
      <c r="P195">
        <f>(G195*Inputs!$E$8+ABS((G195-1))*(1-Inputs!$E$8))</f>
        <v>0.4</v>
      </c>
      <c r="Q195">
        <f>(H195*Inputs!$E$9+ABS((H195-1))*(1-Inputs!$E$9))</f>
        <v>0.35</v>
      </c>
      <c r="R195">
        <f t="shared" ref="R195:R257" si="27">PRODUCT(J195:Q195)</f>
        <v>7.4972625000000017E-3</v>
      </c>
      <c r="T195">
        <f>Inputs!$I$2*A195*Inputs!$G$2</f>
        <v>0.52958847736625514</v>
      </c>
      <c r="U195">
        <f>Inputs!$I$3*B195*Inputs!$G$3</f>
        <v>0.20645773829738062</v>
      </c>
      <c r="V195">
        <f>Inputs!$I$4*C195*Inputs!$G$4</f>
        <v>0.1422264291528948</v>
      </c>
      <c r="W195">
        <f>Inputs!$I$5*D195*Inputs!$G$5</f>
        <v>0.20551679322687164</v>
      </c>
      <c r="X195">
        <f>Inputs!$I$6*E195*Inputs!$G$6</f>
        <v>0</v>
      </c>
      <c r="Y195">
        <f>Inputs!$I$7*F195*Inputs!$G$7</f>
        <v>0.19972733373941395</v>
      </c>
      <c r="Z195">
        <f>Inputs!$I$8*G195*Inputs!$G$8</f>
        <v>0</v>
      </c>
      <c r="AA195">
        <f>Inputs!$I$9*H195*Inputs!$G$9</f>
        <v>0</v>
      </c>
      <c r="AB195">
        <f t="shared" si="24"/>
        <v>1.283516771782816</v>
      </c>
      <c r="AD195">
        <f>Inputs!$I$2*ABS(A195-1)*Inputs!$H$2</f>
        <v>0</v>
      </c>
      <c r="AE195">
        <f>Inputs!$I$3*ABS(B195-1)*Inputs!$H$3</f>
        <v>0</v>
      </c>
      <c r="AF195">
        <f>Inputs!$I$4*ABS(C195-1)*Inputs!$H$4</f>
        <v>0</v>
      </c>
      <c r="AG195">
        <f>Inputs!$I$5*ABS(D195-1)*Inputs!$H$5</f>
        <v>0</v>
      </c>
      <c r="AH195">
        <f>Inputs!$I$6*ABS(E195-1)*Inputs!$H$6</f>
        <v>6.4042485034184693E-2</v>
      </c>
      <c r="AI195">
        <f>Inputs!$I$7*ABS(F195-1)*Inputs!$H$7</f>
        <v>0</v>
      </c>
      <c r="AJ195">
        <f>Inputs!$I$8*ABS(G195-1)*Inputs!$H$8</f>
        <v>5.8391635937893226E-2</v>
      </c>
      <c r="AK195">
        <f>Inputs!$I$9*ABS(H195-1)*Inputs!$H$9</f>
        <v>1.3048927592764261E-2</v>
      </c>
      <c r="AL195">
        <f t="shared" ref="AL195:AL257" si="28">-1*SUM(AD195:AK195)</f>
        <v>-0.1354830485648422</v>
      </c>
      <c r="AN195" s="1">
        <f t="shared" ref="AN195:AN257" si="29">AB195+AL195</f>
        <v>1.1480337232179738</v>
      </c>
      <c r="AO195">
        <f t="shared" si="25"/>
        <v>8.6071101818174962E-3</v>
      </c>
      <c r="AP195">
        <f t="shared" si="26"/>
        <v>1.263978703767549E-3</v>
      </c>
      <c r="AQ195" s="26">
        <f t="shared" ref="AQ195:AQ257" si="30">((1+AN195))^R195</f>
        <v>1.0057485132625585</v>
      </c>
      <c r="AR195">
        <f t="shared" ref="AR195:AR257" si="31">AL195*R195</f>
        <v>-1.0157519793908703E-3</v>
      </c>
    </row>
    <row r="196" spans="1:44" x14ac:dyDescent="0.25">
      <c r="A196">
        <v>1</v>
      </c>
      <c r="B196">
        <v>1</v>
      </c>
      <c r="C196">
        <v>1</v>
      </c>
      <c r="D196">
        <v>0</v>
      </c>
      <c r="E196">
        <v>1</v>
      </c>
      <c r="F196">
        <v>1</v>
      </c>
      <c r="G196">
        <v>0</v>
      </c>
      <c r="H196">
        <v>0</v>
      </c>
      <c r="J196">
        <f>(A196*Inputs!$E$2+ABS((A196-1))*(1-Inputs!$E$2))</f>
        <v>0.65</v>
      </c>
      <c r="K196">
        <f>(B196*Inputs!$E$3+ABS((B196-1))*(1-Inputs!$E$3))</f>
        <v>0.65</v>
      </c>
      <c r="L196">
        <f>(C196*Inputs!$E$4+ABS((C196-1))*(1-Inputs!$E$4))</f>
        <v>0.65</v>
      </c>
      <c r="M196">
        <f>(D196*Inputs!$E$5+ABS((D196-1))*(1-Inputs!$E$5))</f>
        <v>0.35</v>
      </c>
      <c r="N196">
        <f>(E196*Inputs!$E$6+ABS((E196-1))*(1-Inputs!$E$6))</f>
        <v>0.6</v>
      </c>
      <c r="O196">
        <f>(F196*Inputs!$E$7+ABS((F196-1))*(1-Inputs!$E$7))</f>
        <v>0.75</v>
      </c>
      <c r="P196">
        <f>(G196*Inputs!$E$8+ABS((G196-1))*(1-Inputs!$E$8))</f>
        <v>0.4</v>
      </c>
      <c r="Q196">
        <f>(H196*Inputs!$E$9+ABS((H196-1))*(1-Inputs!$E$9))</f>
        <v>0.35</v>
      </c>
      <c r="R196">
        <f t="shared" si="27"/>
        <v>6.0554812500000013E-3</v>
      </c>
      <c r="T196">
        <f>Inputs!$I$2*A196*Inputs!$G$2</f>
        <v>0.52958847736625514</v>
      </c>
      <c r="U196">
        <f>Inputs!$I$3*B196*Inputs!$G$3</f>
        <v>0.20645773829738062</v>
      </c>
      <c r="V196">
        <f>Inputs!$I$4*C196*Inputs!$G$4</f>
        <v>0.1422264291528948</v>
      </c>
      <c r="W196">
        <f>Inputs!$I$5*D196*Inputs!$G$5</f>
        <v>0</v>
      </c>
      <c r="X196">
        <f>Inputs!$I$6*E196*Inputs!$G$6</f>
        <v>0.37656981200100598</v>
      </c>
      <c r="Y196">
        <f>Inputs!$I$7*F196*Inputs!$G$7</f>
        <v>0.19972733373941395</v>
      </c>
      <c r="Z196">
        <f>Inputs!$I$8*G196*Inputs!$G$8</f>
        <v>0</v>
      </c>
      <c r="AA196">
        <f>Inputs!$I$9*H196*Inputs!$G$9</f>
        <v>0</v>
      </c>
      <c r="AB196">
        <f t="shared" si="24"/>
        <v>1.4545697905569503</v>
      </c>
      <c r="AD196">
        <f>Inputs!$I$2*ABS(A196-1)*Inputs!$H$2</f>
        <v>0</v>
      </c>
      <c r="AE196">
        <f>Inputs!$I$3*ABS(B196-1)*Inputs!$H$3</f>
        <v>0</v>
      </c>
      <c r="AF196">
        <f>Inputs!$I$4*ABS(C196-1)*Inputs!$H$4</f>
        <v>0</v>
      </c>
      <c r="AG196">
        <f>Inputs!$I$5*ABS(D196-1)*Inputs!$H$5</f>
        <v>3.0032539984442563E-2</v>
      </c>
      <c r="AH196">
        <f>Inputs!$I$6*ABS(E196-1)*Inputs!$H$6</f>
        <v>0</v>
      </c>
      <c r="AI196">
        <f>Inputs!$I$7*ABS(F196-1)*Inputs!$H$7</f>
        <v>0</v>
      </c>
      <c r="AJ196">
        <f>Inputs!$I$8*ABS(G196-1)*Inputs!$H$8</f>
        <v>5.8391635937893226E-2</v>
      </c>
      <c r="AK196">
        <f>Inputs!$I$9*ABS(H196-1)*Inputs!$H$9</f>
        <v>1.3048927592764261E-2</v>
      </c>
      <c r="AL196">
        <f t="shared" si="28"/>
        <v>-0.10147310351510004</v>
      </c>
      <c r="AN196" s="1">
        <f t="shared" si="29"/>
        <v>1.3530966870418504</v>
      </c>
      <c r="AO196">
        <f t="shared" si="25"/>
        <v>8.1936516178190439E-3</v>
      </c>
      <c r="AP196">
        <f t="shared" si="26"/>
        <v>2.5581567057256146E-4</v>
      </c>
      <c r="AQ196" s="26">
        <f t="shared" si="30"/>
        <v>1.0051953194016512</v>
      </c>
      <c r="AR196">
        <f t="shared" si="31"/>
        <v>-6.1446847571499752E-4</v>
      </c>
    </row>
    <row r="197" spans="1:44" x14ac:dyDescent="0.25">
      <c r="A197">
        <v>1</v>
      </c>
      <c r="B197">
        <v>1</v>
      </c>
      <c r="C197">
        <v>1</v>
      </c>
      <c r="D197">
        <v>0</v>
      </c>
      <c r="E197">
        <v>0</v>
      </c>
      <c r="F197">
        <v>1</v>
      </c>
      <c r="G197">
        <v>0</v>
      </c>
      <c r="H197">
        <v>0</v>
      </c>
      <c r="J197">
        <f>(A197*Inputs!$E$2+ABS((A197-1))*(1-Inputs!$E$2))</f>
        <v>0.65</v>
      </c>
      <c r="K197">
        <f>(B197*Inputs!$E$3+ABS((B197-1))*(1-Inputs!$E$3))</f>
        <v>0.65</v>
      </c>
      <c r="L197">
        <f>(C197*Inputs!$E$4+ABS((C197-1))*(1-Inputs!$E$4))</f>
        <v>0.65</v>
      </c>
      <c r="M197">
        <f>(D197*Inputs!$E$5+ABS((D197-1))*(1-Inputs!$E$5))</f>
        <v>0.35</v>
      </c>
      <c r="N197">
        <f>(E197*Inputs!$E$6+ABS((E197-1))*(1-Inputs!$E$6))</f>
        <v>0.4</v>
      </c>
      <c r="O197">
        <f>(F197*Inputs!$E$7+ABS((F197-1))*(1-Inputs!$E$7))</f>
        <v>0.75</v>
      </c>
      <c r="P197">
        <f>(G197*Inputs!$E$8+ABS((G197-1))*(1-Inputs!$E$8))</f>
        <v>0.4</v>
      </c>
      <c r="Q197">
        <f>(H197*Inputs!$E$9+ABS((H197-1))*(1-Inputs!$E$9))</f>
        <v>0.35</v>
      </c>
      <c r="R197">
        <f t="shared" si="27"/>
        <v>4.0369875000000012E-3</v>
      </c>
      <c r="T197">
        <f>Inputs!$I$2*A197*Inputs!$G$2</f>
        <v>0.52958847736625514</v>
      </c>
      <c r="U197">
        <f>Inputs!$I$3*B197*Inputs!$G$3</f>
        <v>0.20645773829738062</v>
      </c>
      <c r="V197">
        <f>Inputs!$I$4*C197*Inputs!$G$4</f>
        <v>0.1422264291528948</v>
      </c>
      <c r="W197">
        <f>Inputs!$I$5*D197*Inputs!$G$5</f>
        <v>0</v>
      </c>
      <c r="X197">
        <f>Inputs!$I$6*E197*Inputs!$G$6</f>
        <v>0</v>
      </c>
      <c r="Y197">
        <f>Inputs!$I$7*F197*Inputs!$G$7</f>
        <v>0.19972733373941395</v>
      </c>
      <c r="Z197">
        <f>Inputs!$I$8*G197*Inputs!$G$8</f>
        <v>0</v>
      </c>
      <c r="AA197">
        <f>Inputs!$I$9*H197*Inputs!$G$9</f>
        <v>0</v>
      </c>
      <c r="AB197">
        <f t="shared" si="24"/>
        <v>1.0779999785559444</v>
      </c>
      <c r="AD197">
        <f>Inputs!$I$2*ABS(A197-1)*Inputs!$H$2</f>
        <v>0</v>
      </c>
      <c r="AE197">
        <f>Inputs!$I$3*ABS(B197-1)*Inputs!$H$3</f>
        <v>0</v>
      </c>
      <c r="AF197">
        <f>Inputs!$I$4*ABS(C197-1)*Inputs!$H$4</f>
        <v>0</v>
      </c>
      <c r="AG197">
        <f>Inputs!$I$5*ABS(D197-1)*Inputs!$H$5</f>
        <v>3.0032539984442563E-2</v>
      </c>
      <c r="AH197">
        <f>Inputs!$I$6*ABS(E197-1)*Inputs!$H$6</f>
        <v>6.4042485034184693E-2</v>
      </c>
      <c r="AI197">
        <f>Inputs!$I$7*ABS(F197-1)*Inputs!$H$7</f>
        <v>0</v>
      </c>
      <c r="AJ197">
        <f>Inputs!$I$8*ABS(G197-1)*Inputs!$H$8</f>
        <v>5.8391635937893226E-2</v>
      </c>
      <c r="AK197">
        <f>Inputs!$I$9*ABS(H197-1)*Inputs!$H$9</f>
        <v>1.3048927592764261E-2</v>
      </c>
      <c r="AL197">
        <f t="shared" si="28"/>
        <v>-0.16551558854928475</v>
      </c>
      <c r="AN197" s="1">
        <f t="shared" si="29"/>
        <v>0.91248439000665971</v>
      </c>
      <c r="AO197">
        <f t="shared" si="25"/>
        <v>3.6836880764020111E-3</v>
      </c>
      <c r="AP197">
        <f t="shared" si="26"/>
        <v>1.6854763590051249E-3</v>
      </c>
      <c r="AQ197" s="26">
        <f t="shared" si="30"/>
        <v>1.0026210242027267</v>
      </c>
      <c r="AR197">
        <f t="shared" si="31"/>
        <v>-6.6818436202860582E-4</v>
      </c>
    </row>
    <row r="198" spans="1:44" x14ac:dyDescent="0.25">
      <c r="A198">
        <v>1</v>
      </c>
      <c r="B198">
        <v>1</v>
      </c>
      <c r="C198">
        <v>0</v>
      </c>
      <c r="D198">
        <v>1</v>
      </c>
      <c r="E198">
        <v>1</v>
      </c>
      <c r="F198">
        <v>1</v>
      </c>
      <c r="G198">
        <v>0</v>
      </c>
      <c r="H198">
        <v>0</v>
      </c>
      <c r="J198">
        <f>(A198*Inputs!$E$2+ABS((A198-1))*(1-Inputs!$E$2))</f>
        <v>0.65</v>
      </c>
      <c r="K198">
        <f>(B198*Inputs!$E$3+ABS((B198-1))*(1-Inputs!$E$3))</f>
        <v>0.65</v>
      </c>
      <c r="L198">
        <f>(C198*Inputs!$E$4+ABS((C198-1))*(1-Inputs!$E$4))</f>
        <v>0.35</v>
      </c>
      <c r="M198">
        <f>(D198*Inputs!$E$5+ABS((D198-1))*(1-Inputs!$E$5))</f>
        <v>0.65</v>
      </c>
      <c r="N198">
        <f>(E198*Inputs!$E$6+ABS((E198-1))*(1-Inputs!$E$6))</f>
        <v>0.6</v>
      </c>
      <c r="O198">
        <f>(F198*Inputs!$E$7+ABS((F198-1))*(1-Inputs!$E$7))</f>
        <v>0.75</v>
      </c>
      <c r="P198">
        <f>(G198*Inputs!$E$8+ABS((G198-1))*(1-Inputs!$E$8))</f>
        <v>0.4</v>
      </c>
      <c r="Q198">
        <f>(H198*Inputs!$E$9+ABS((H198-1))*(1-Inputs!$E$9))</f>
        <v>0.35</v>
      </c>
      <c r="R198">
        <f t="shared" si="27"/>
        <v>6.0554812499999996E-3</v>
      </c>
      <c r="T198">
        <f>Inputs!$I$2*A198*Inputs!$G$2</f>
        <v>0.52958847736625514</v>
      </c>
      <c r="U198">
        <f>Inputs!$I$3*B198*Inputs!$G$3</f>
        <v>0.20645773829738062</v>
      </c>
      <c r="V198">
        <f>Inputs!$I$4*C198*Inputs!$G$4</f>
        <v>0</v>
      </c>
      <c r="W198">
        <f>Inputs!$I$5*D198*Inputs!$G$5</f>
        <v>0.20551679322687164</v>
      </c>
      <c r="X198">
        <f>Inputs!$I$6*E198*Inputs!$G$6</f>
        <v>0.37656981200100598</v>
      </c>
      <c r="Y198">
        <f>Inputs!$I$7*F198*Inputs!$G$7</f>
        <v>0.19972733373941395</v>
      </c>
      <c r="Z198">
        <f>Inputs!$I$8*G198*Inputs!$G$8</f>
        <v>0</v>
      </c>
      <c r="AA198">
        <f>Inputs!$I$9*H198*Inputs!$G$9</f>
        <v>0</v>
      </c>
      <c r="AB198">
        <f t="shared" si="24"/>
        <v>1.5178601546309274</v>
      </c>
      <c r="AD198">
        <f>Inputs!$I$2*ABS(A198-1)*Inputs!$H$2</f>
        <v>0</v>
      </c>
      <c r="AE198">
        <f>Inputs!$I$3*ABS(B198-1)*Inputs!$H$3</f>
        <v>0</v>
      </c>
      <c r="AF198">
        <f>Inputs!$I$4*ABS(C198-1)*Inputs!$H$4</f>
        <v>8.9678988679000853E-3</v>
      </c>
      <c r="AG198">
        <f>Inputs!$I$5*ABS(D198-1)*Inputs!$H$5</f>
        <v>0</v>
      </c>
      <c r="AH198">
        <f>Inputs!$I$6*ABS(E198-1)*Inputs!$H$6</f>
        <v>0</v>
      </c>
      <c r="AI198">
        <f>Inputs!$I$7*ABS(F198-1)*Inputs!$H$7</f>
        <v>0</v>
      </c>
      <c r="AJ198">
        <f>Inputs!$I$8*ABS(G198-1)*Inputs!$H$8</f>
        <v>5.8391635937893226E-2</v>
      </c>
      <c r="AK198">
        <f>Inputs!$I$9*ABS(H198-1)*Inputs!$H$9</f>
        <v>1.3048927592764261E-2</v>
      </c>
      <c r="AL198">
        <f t="shared" si="28"/>
        <v>-8.0408462398557562E-2</v>
      </c>
      <c r="AN198" s="1">
        <f t="shared" si="29"/>
        <v>1.4374516922323699</v>
      </c>
      <c r="AO198">
        <f t="shared" si="25"/>
        <v>8.7044617700938864E-3</v>
      </c>
      <c r="AP198">
        <f t="shared" si="26"/>
        <v>8.8924664755193618E-5</v>
      </c>
      <c r="AQ198" s="26">
        <f t="shared" si="30"/>
        <v>1.0054097298521893</v>
      </c>
      <c r="AR198">
        <f t="shared" si="31"/>
        <v>-4.869119363957953E-4</v>
      </c>
    </row>
    <row r="199" spans="1:44" x14ac:dyDescent="0.25">
      <c r="A199">
        <v>1</v>
      </c>
      <c r="B199">
        <v>1</v>
      </c>
      <c r="C199">
        <v>0</v>
      </c>
      <c r="D199">
        <v>1</v>
      </c>
      <c r="E199">
        <v>0</v>
      </c>
      <c r="F199">
        <v>1</v>
      </c>
      <c r="G199">
        <v>0</v>
      </c>
      <c r="H199">
        <v>0</v>
      </c>
      <c r="J199">
        <f>(A199*Inputs!$E$2+ABS((A199-1))*(1-Inputs!$E$2))</f>
        <v>0.65</v>
      </c>
      <c r="K199">
        <f>(B199*Inputs!$E$3+ABS((B199-1))*(1-Inputs!$E$3))</f>
        <v>0.65</v>
      </c>
      <c r="L199">
        <f>(C199*Inputs!$E$4+ABS((C199-1))*(1-Inputs!$E$4))</f>
        <v>0.35</v>
      </c>
      <c r="M199">
        <f>(D199*Inputs!$E$5+ABS((D199-1))*(1-Inputs!$E$5))</f>
        <v>0.65</v>
      </c>
      <c r="N199">
        <f>(E199*Inputs!$E$6+ABS((E199-1))*(1-Inputs!$E$6))</f>
        <v>0.4</v>
      </c>
      <c r="O199">
        <f>(F199*Inputs!$E$7+ABS((F199-1))*(1-Inputs!$E$7))</f>
        <v>0.75</v>
      </c>
      <c r="P199">
        <f>(G199*Inputs!$E$8+ABS((G199-1))*(1-Inputs!$E$8))</f>
        <v>0.4</v>
      </c>
      <c r="Q199">
        <f>(H199*Inputs!$E$9+ABS((H199-1))*(1-Inputs!$E$9))</f>
        <v>0.35</v>
      </c>
      <c r="R199">
        <f t="shared" si="27"/>
        <v>4.0369875000000012E-3</v>
      </c>
      <c r="T199">
        <f>Inputs!$I$2*A199*Inputs!$G$2</f>
        <v>0.52958847736625514</v>
      </c>
      <c r="U199">
        <f>Inputs!$I$3*B199*Inputs!$G$3</f>
        <v>0.20645773829738062</v>
      </c>
      <c r="V199">
        <f>Inputs!$I$4*C199*Inputs!$G$4</f>
        <v>0</v>
      </c>
      <c r="W199">
        <f>Inputs!$I$5*D199*Inputs!$G$5</f>
        <v>0.20551679322687164</v>
      </c>
      <c r="X199">
        <f>Inputs!$I$6*E199*Inputs!$G$6</f>
        <v>0</v>
      </c>
      <c r="Y199">
        <f>Inputs!$I$7*F199*Inputs!$G$7</f>
        <v>0.19972733373941395</v>
      </c>
      <c r="Z199">
        <f>Inputs!$I$8*G199*Inputs!$G$8</f>
        <v>0</v>
      </c>
      <c r="AA199">
        <f>Inputs!$I$9*H199*Inputs!$G$9</f>
        <v>0</v>
      </c>
      <c r="AB199">
        <f t="shared" si="24"/>
        <v>1.1412903426299215</v>
      </c>
      <c r="AD199">
        <f>Inputs!$I$2*ABS(A199-1)*Inputs!$H$2</f>
        <v>0</v>
      </c>
      <c r="AE199">
        <f>Inputs!$I$3*ABS(B199-1)*Inputs!$H$3</f>
        <v>0</v>
      </c>
      <c r="AF199">
        <f>Inputs!$I$4*ABS(C199-1)*Inputs!$H$4</f>
        <v>8.9678988679000853E-3</v>
      </c>
      <c r="AG199">
        <f>Inputs!$I$5*ABS(D199-1)*Inputs!$H$5</f>
        <v>0</v>
      </c>
      <c r="AH199">
        <f>Inputs!$I$6*ABS(E199-1)*Inputs!$H$6</f>
        <v>6.4042485034184693E-2</v>
      </c>
      <c r="AI199">
        <f>Inputs!$I$7*ABS(F199-1)*Inputs!$H$7</f>
        <v>0</v>
      </c>
      <c r="AJ199">
        <f>Inputs!$I$8*ABS(G199-1)*Inputs!$H$8</f>
        <v>5.8391635937893226E-2</v>
      </c>
      <c r="AK199">
        <f>Inputs!$I$9*ABS(H199-1)*Inputs!$H$9</f>
        <v>1.3048927592764261E-2</v>
      </c>
      <c r="AL199">
        <f t="shared" si="28"/>
        <v>-0.14445094743274228</v>
      </c>
      <c r="AN199" s="1">
        <f t="shared" si="29"/>
        <v>0.99683939519717923</v>
      </c>
      <c r="AO199">
        <f t="shared" si="25"/>
        <v>4.0242281779185735E-3</v>
      </c>
      <c r="AP199">
        <f t="shared" si="26"/>
        <v>1.2741233757365936E-3</v>
      </c>
      <c r="AQ199" s="26">
        <f t="shared" si="30"/>
        <v>1.0027957426159464</v>
      </c>
      <c r="AR199">
        <f t="shared" si="31"/>
        <v>-5.8314666914913789E-4</v>
      </c>
    </row>
    <row r="200" spans="1:44" x14ac:dyDescent="0.25">
      <c r="A200">
        <v>1</v>
      </c>
      <c r="B200">
        <v>1</v>
      </c>
      <c r="C200">
        <v>0</v>
      </c>
      <c r="D200">
        <v>0</v>
      </c>
      <c r="E200">
        <v>1</v>
      </c>
      <c r="F200">
        <v>1</v>
      </c>
      <c r="G200">
        <v>0</v>
      </c>
      <c r="H200">
        <v>0</v>
      </c>
      <c r="J200">
        <f>(A200*Inputs!$E$2+ABS((A200-1))*(1-Inputs!$E$2))</f>
        <v>0.65</v>
      </c>
      <c r="K200">
        <f>(B200*Inputs!$E$3+ABS((B200-1))*(1-Inputs!$E$3))</f>
        <v>0.65</v>
      </c>
      <c r="L200">
        <f>(C200*Inputs!$E$4+ABS((C200-1))*(1-Inputs!$E$4))</f>
        <v>0.35</v>
      </c>
      <c r="M200">
        <f>(D200*Inputs!$E$5+ABS((D200-1))*(1-Inputs!$E$5))</f>
        <v>0.35</v>
      </c>
      <c r="N200">
        <f>(E200*Inputs!$E$6+ABS((E200-1))*(1-Inputs!$E$6))</f>
        <v>0.6</v>
      </c>
      <c r="O200">
        <f>(F200*Inputs!$E$7+ABS((F200-1))*(1-Inputs!$E$7))</f>
        <v>0.75</v>
      </c>
      <c r="P200">
        <f>(G200*Inputs!$E$8+ABS((G200-1))*(1-Inputs!$E$8))</f>
        <v>0.4</v>
      </c>
      <c r="Q200">
        <f>(H200*Inputs!$E$9+ABS((H200-1))*(1-Inputs!$E$9))</f>
        <v>0.35</v>
      </c>
      <c r="R200">
        <f t="shared" si="27"/>
        <v>3.2606437499999997E-3</v>
      </c>
      <c r="T200">
        <f>Inputs!$I$2*A200*Inputs!$G$2</f>
        <v>0.52958847736625514</v>
      </c>
      <c r="U200">
        <f>Inputs!$I$3*B200*Inputs!$G$3</f>
        <v>0.20645773829738062</v>
      </c>
      <c r="V200">
        <f>Inputs!$I$4*C200*Inputs!$G$4</f>
        <v>0</v>
      </c>
      <c r="W200">
        <f>Inputs!$I$5*D200*Inputs!$G$5</f>
        <v>0</v>
      </c>
      <c r="X200">
        <f>Inputs!$I$6*E200*Inputs!$G$6</f>
        <v>0.37656981200100598</v>
      </c>
      <c r="Y200">
        <f>Inputs!$I$7*F200*Inputs!$G$7</f>
        <v>0.19972733373941395</v>
      </c>
      <c r="Z200">
        <f>Inputs!$I$8*G200*Inputs!$G$8</f>
        <v>0</v>
      </c>
      <c r="AA200">
        <f>Inputs!$I$9*H200*Inputs!$G$9</f>
        <v>0</v>
      </c>
      <c r="AB200">
        <f t="shared" si="24"/>
        <v>1.3123433614040556</v>
      </c>
      <c r="AD200">
        <f>Inputs!$I$2*ABS(A200-1)*Inputs!$H$2</f>
        <v>0</v>
      </c>
      <c r="AE200">
        <f>Inputs!$I$3*ABS(B200-1)*Inputs!$H$3</f>
        <v>0</v>
      </c>
      <c r="AF200">
        <f>Inputs!$I$4*ABS(C200-1)*Inputs!$H$4</f>
        <v>8.9678988679000853E-3</v>
      </c>
      <c r="AG200">
        <f>Inputs!$I$5*ABS(D200-1)*Inputs!$H$5</f>
        <v>3.0032539984442563E-2</v>
      </c>
      <c r="AH200">
        <f>Inputs!$I$6*ABS(E200-1)*Inputs!$H$6</f>
        <v>0</v>
      </c>
      <c r="AI200">
        <f>Inputs!$I$7*ABS(F200-1)*Inputs!$H$7</f>
        <v>0</v>
      </c>
      <c r="AJ200">
        <f>Inputs!$I$8*ABS(G200-1)*Inputs!$H$8</f>
        <v>5.8391635937893226E-2</v>
      </c>
      <c r="AK200">
        <f>Inputs!$I$9*ABS(H200-1)*Inputs!$H$9</f>
        <v>1.3048927592764261E-2</v>
      </c>
      <c r="AL200">
        <f t="shared" si="28"/>
        <v>-0.11044100238300013</v>
      </c>
      <c r="AN200" s="1">
        <f t="shared" si="29"/>
        <v>1.2019023590210556</v>
      </c>
      <c r="AO200">
        <f t="shared" si="25"/>
        <v>3.9189754150522607E-3</v>
      </c>
      <c r="AP200">
        <f t="shared" si="26"/>
        <v>4.1493967463002607E-4</v>
      </c>
      <c r="AQ200" s="26">
        <f t="shared" si="30"/>
        <v>1.0025770116536306</v>
      </c>
      <c r="AR200">
        <f t="shared" si="31"/>
        <v>-3.6010876416386444E-4</v>
      </c>
    </row>
    <row r="201" spans="1:44" x14ac:dyDescent="0.25">
      <c r="A201">
        <v>1</v>
      </c>
      <c r="B201">
        <v>1</v>
      </c>
      <c r="C201">
        <v>0</v>
      </c>
      <c r="D201">
        <v>0</v>
      </c>
      <c r="E201">
        <v>0</v>
      </c>
      <c r="F201">
        <v>1</v>
      </c>
      <c r="G201">
        <v>0</v>
      </c>
      <c r="H201">
        <v>0</v>
      </c>
      <c r="J201">
        <f>(A201*Inputs!$E$2+ABS((A201-1))*(1-Inputs!$E$2))</f>
        <v>0.65</v>
      </c>
      <c r="K201">
        <f>(B201*Inputs!$E$3+ABS((B201-1))*(1-Inputs!$E$3))</f>
        <v>0.65</v>
      </c>
      <c r="L201">
        <f>(C201*Inputs!$E$4+ABS((C201-1))*(1-Inputs!$E$4))</f>
        <v>0.35</v>
      </c>
      <c r="M201">
        <f>(D201*Inputs!$E$5+ABS((D201-1))*(1-Inputs!$E$5))</f>
        <v>0.35</v>
      </c>
      <c r="N201">
        <f>(E201*Inputs!$E$6+ABS((E201-1))*(1-Inputs!$E$6))</f>
        <v>0.4</v>
      </c>
      <c r="O201">
        <f>(F201*Inputs!$E$7+ABS((F201-1))*(1-Inputs!$E$7))</f>
        <v>0.75</v>
      </c>
      <c r="P201">
        <f>(G201*Inputs!$E$8+ABS((G201-1))*(1-Inputs!$E$8))</f>
        <v>0.4</v>
      </c>
      <c r="Q201">
        <f>(H201*Inputs!$E$9+ABS((H201-1))*(1-Inputs!$E$9))</f>
        <v>0.35</v>
      </c>
      <c r="R201">
        <f t="shared" si="27"/>
        <v>2.1737624999999998E-3</v>
      </c>
      <c r="T201">
        <f>Inputs!$I$2*A201*Inputs!$G$2</f>
        <v>0.52958847736625514</v>
      </c>
      <c r="U201">
        <f>Inputs!$I$3*B201*Inputs!$G$3</f>
        <v>0.20645773829738062</v>
      </c>
      <c r="V201">
        <f>Inputs!$I$4*C201*Inputs!$G$4</f>
        <v>0</v>
      </c>
      <c r="W201">
        <f>Inputs!$I$5*D201*Inputs!$G$5</f>
        <v>0</v>
      </c>
      <c r="X201">
        <f>Inputs!$I$6*E201*Inputs!$G$6</f>
        <v>0</v>
      </c>
      <c r="Y201">
        <f>Inputs!$I$7*F201*Inputs!$G$7</f>
        <v>0.19972733373941395</v>
      </c>
      <c r="Z201">
        <f>Inputs!$I$8*G201*Inputs!$G$8</f>
        <v>0</v>
      </c>
      <c r="AA201">
        <f>Inputs!$I$9*H201*Inputs!$G$9</f>
        <v>0</v>
      </c>
      <c r="AB201">
        <f t="shared" si="24"/>
        <v>0.9357735494030498</v>
      </c>
      <c r="AD201">
        <f>Inputs!$I$2*ABS(A201-1)*Inputs!$H$2</f>
        <v>0</v>
      </c>
      <c r="AE201">
        <f>Inputs!$I$3*ABS(B201-1)*Inputs!$H$3</f>
        <v>0</v>
      </c>
      <c r="AF201">
        <f>Inputs!$I$4*ABS(C201-1)*Inputs!$H$4</f>
        <v>8.9678988679000853E-3</v>
      </c>
      <c r="AG201">
        <f>Inputs!$I$5*ABS(D201-1)*Inputs!$H$5</f>
        <v>3.0032539984442563E-2</v>
      </c>
      <c r="AH201">
        <f>Inputs!$I$6*ABS(E201-1)*Inputs!$H$6</f>
        <v>6.4042485034184693E-2</v>
      </c>
      <c r="AI201">
        <f>Inputs!$I$7*ABS(F201-1)*Inputs!$H$7</f>
        <v>0</v>
      </c>
      <c r="AJ201">
        <f>Inputs!$I$8*ABS(G201-1)*Inputs!$H$8</f>
        <v>5.8391635937893226E-2</v>
      </c>
      <c r="AK201">
        <f>Inputs!$I$9*ABS(H201-1)*Inputs!$H$9</f>
        <v>1.3048927592764261E-2</v>
      </c>
      <c r="AL201">
        <f t="shared" si="28"/>
        <v>-0.17448348741718483</v>
      </c>
      <c r="AN201" s="1">
        <f t="shared" si="29"/>
        <v>0.76129006198586491</v>
      </c>
      <c r="AO201">
        <f t="shared" si="25"/>
        <v>1.6548637883675485E-3</v>
      </c>
      <c r="AP201">
        <f t="shared" si="26"/>
        <v>1.3819831456865206E-3</v>
      </c>
      <c r="AQ201" s="26">
        <f t="shared" si="30"/>
        <v>1.00123120803591</v>
      </c>
      <c r="AR201">
        <f t="shared" si="31"/>
        <v>-3.7928566181669822E-4</v>
      </c>
    </row>
    <row r="202" spans="1:44" x14ac:dyDescent="0.25">
      <c r="A202">
        <v>1</v>
      </c>
      <c r="B202">
        <v>0</v>
      </c>
      <c r="C202">
        <v>1</v>
      </c>
      <c r="D202">
        <v>1</v>
      </c>
      <c r="E202">
        <v>1</v>
      </c>
      <c r="F202">
        <v>1</v>
      </c>
      <c r="G202">
        <v>0</v>
      </c>
      <c r="H202">
        <v>0</v>
      </c>
      <c r="J202">
        <f>(A202*Inputs!$E$2+ABS((A202-1))*(1-Inputs!$E$2))</f>
        <v>0.65</v>
      </c>
      <c r="K202">
        <f>(B202*Inputs!$E$3+ABS((B202-1))*(1-Inputs!$E$3))</f>
        <v>0.35</v>
      </c>
      <c r="L202">
        <f>(C202*Inputs!$E$4+ABS((C202-1))*(1-Inputs!$E$4))</f>
        <v>0.65</v>
      </c>
      <c r="M202">
        <f>(D202*Inputs!$E$5+ABS((D202-1))*(1-Inputs!$E$5))</f>
        <v>0.65</v>
      </c>
      <c r="N202">
        <f>(E202*Inputs!$E$6+ABS((E202-1))*(1-Inputs!$E$6))</f>
        <v>0.6</v>
      </c>
      <c r="O202">
        <f>(F202*Inputs!$E$7+ABS((F202-1))*(1-Inputs!$E$7))</f>
        <v>0.75</v>
      </c>
      <c r="P202">
        <f>(G202*Inputs!$E$8+ABS((G202-1))*(1-Inputs!$E$8))</f>
        <v>0.4</v>
      </c>
      <c r="Q202">
        <f>(H202*Inputs!$E$9+ABS((H202-1))*(1-Inputs!$E$9))</f>
        <v>0.35</v>
      </c>
      <c r="R202">
        <f t="shared" si="27"/>
        <v>6.0554812499999987E-3</v>
      </c>
      <c r="T202">
        <f>Inputs!$I$2*A202*Inputs!$G$2</f>
        <v>0.52958847736625514</v>
      </c>
      <c r="U202">
        <f>Inputs!$I$3*B202*Inputs!$G$3</f>
        <v>0</v>
      </c>
      <c r="V202">
        <f>Inputs!$I$4*C202*Inputs!$G$4</f>
        <v>0.1422264291528948</v>
      </c>
      <c r="W202">
        <f>Inputs!$I$5*D202*Inputs!$G$5</f>
        <v>0.20551679322687164</v>
      </c>
      <c r="X202">
        <f>Inputs!$I$6*E202*Inputs!$G$6</f>
        <v>0.37656981200100598</v>
      </c>
      <c r="Y202">
        <f>Inputs!$I$7*F202*Inputs!$G$7</f>
        <v>0.19972733373941395</v>
      </c>
      <c r="Z202">
        <f>Inputs!$I$8*G202*Inputs!$G$8</f>
        <v>0</v>
      </c>
      <c r="AA202">
        <f>Inputs!$I$9*H202*Inputs!$G$9</f>
        <v>0</v>
      </c>
      <c r="AB202">
        <f t="shared" si="24"/>
        <v>1.4536288454864414</v>
      </c>
      <c r="AD202">
        <f>Inputs!$I$2*ABS(A202-1)*Inputs!$H$2</f>
        <v>0</v>
      </c>
      <c r="AE202">
        <f>Inputs!$I$3*ABS(B202-1)*Inputs!$H$3</f>
        <v>1.1405796839520112E-2</v>
      </c>
      <c r="AF202">
        <f>Inputs!$I$4*ABS(C202-1)*Inputs!$H$4</f>
        <v>0</v>
      </c>
      <c r="AG202">
        <f>Inputs!$I$5*ABS(D202-1)*Inputs!$H$5</f>
        <v>0</v>
      </c>
      <c r="AH202">
        <f>Inputs!$I$6*ABS(E202-1)*Inputs!$H$6</f>
        <v>0</v>
      </c>
      <c r="AI202">
        <f>Inputs!$I$7*ABS(F202-1)*Inputs!$H$7</f>
        <v>0</v>
      </c>
      <c r="AJ202">
        <f>Inputs!$I$8*ABS(G202-1)*Inputs!$H$8</f>
        <v>5.8391635937893226E-2</v>
      </c>
      <c r="AK202">
        <f>Inputs!$I$9*ABS(H202-1)*Inputs!$H$9</f>
        <v>1.3048927592764261E-2</v>
      </c>
      <c r="AL202">
        <f t="shared" si="28"/>
        <v>-8.2846360370177591E-2</v>
      </c>
      <c r="AN202" s="1">
        <f t="shared" si="29"/>
        <v>1.3707824851162638</v>
      </c>
      <c r="AO202">
        <f t="shared" si="25"/>
        <v>8.3007476364499368E-3</v>
      </c>
      <c r="AP202">
        <f t="shared" si="26"/>
        <v>2.1368543871378776E-4</v>
      </c>
      <c r="AQ202" s="26">
        <f t="shared" si="30"/>
        <v>1.0052408986200811</v>
      </c>
      <c r="AR202">
        <f t="shared" si="31"/>
        <v>-5.0167458185235332E-4</v>
      </c>
    </row>
    <row r="203" spans="1:44" x14ac:dyDescent="0.25">
      <c r="A203">
        <v>1</v>
      </c>
      <c r="B203">
        <v>0</v>
      </c>
      <c r="C203">
        <v>1</v>
      </c>
      <c r="D203">
        <v>1</v>
      </c>
      <c r="E203">
        <v>0</v>
      </c>
      <c r="F203">
        <v>1</v>
      </c>
      <c r="G203">
        <v>0</v>
      </c>
      <c r="H203">
        <v>0</v>
      </c>
      <c r="J203">
        <f>(A203*Inputs!$E$2+ABS((A203-1))*(1-Inputs!$E$2))</f>
        <v>0.65</v>
      </c>
      <c r="K203">
        <f>(B203*Inputs!$E$3+ABS((B203-1))*(1-Inputs!$E$3))</f>
        <v>0.35</v>
      </c>
      <c r="L203">
        <f>(C203*Inputs!$E$4+ABS((C203-1))*(1-Inputs!$E$4))</f>
        <v>0.65</v>
      </c>
      <c r="M203">
        <f>(D203*Inputs!$E$5+ABS((D203-1))*(1-Inputs!$E$5))</f>
        <v>0.65</v>
      </c>
      <c r="N203">
        <f>(E203*Inputs!$E$6+ABS((E203-1))*(1-Inputs!$E$6))</f>
        <v>0.4</v>
      </c>
      <c r="O203">
        <f>(F203*Inputs!$E$7+ABS((F203-1))*(1-Inputs!$E$7))</f>
        <v>0.75</v>
      </c>
      <c r="P203">
        <f>(G203*Inputs!$E$8+ABS((G203-1))*(1-Inputs!$E$8))</f>
        <v>0.4</v>
      </c>
      <c r="Q203">
        <f>(H203*Inputs!$E$9+ABS((H203-1))*(1-Inputs!$E$9))</f>
        <v>0.35</v>
      </c>
      <c r="R203">
        <f t="shared" si="27"/>
        <v>4.0369874999999994E-3</v>
      </c>
      <c r="T203">
        <f>Inputs!$I$2*A203*Inputs!$G$2</f>
        <v>0.52958847736625514</v>
      </c>
      <c r="U203">
        <f>Inputs!$I$3*B203*Inputs!$G$3</f>
        <v>0</v>
      </c>
      <c r="V203">
        <f>Inputs!$I$4*C203*Inputs!$G$4</f>
        <v>0.1422264291528948</v>
      </c>
      <c r="W203">
        <f>Inputs!$I$5*D203*Inputs!$G$5</f>
        <v>0.20551679322687164</v>
      </c>
      <c r="X203">
        <f>Inputs!$I$6*E203*Inputs!$G$6</f>
        <v>0</v>
      </c>
      <c r="Y203">
        <f>Inputs!$I$7*F203*Inputs!$G$7</f>
        <v>0.19972733373941395</v>
      </c>
      <c r="Z203">
        <f>Inputs!$I$8*G203*Inputs!$G$8</f>
        <v>0</v>
      </c>
      <c r="AA203">
        <f>Inputs!$I$9*H203*Inputs!$G$9</f>
        <v>0</v>
      </c>
      <c r="AB203">
        <f t="shared" si="24"/>
        <v>1.0770590334854355</v>
      </c>
      <c r="AD203">
        <f>Inputs!$I$2*ABS(A203-1)*Inputs!$H$2</f>
        <v>0</v>
      </c>
      <c r="AE203">
        <f>Inputs!$I$3*ABS(B203-1)*Inputs!$H$3</f>
        <v>1.1405796839520112E-2</v>
      </c>
      <c r="AF203">
        <f>Inputs!$I$4*ABS(C203-1)*Inputs!$H$4</f>
        <v>0</v>
      </c>
      <c r="AG203">
        <f>Inputs!$I$5*ABS(D203-1)*Inputs!$H$5</f>
        <v>0</v>
      </c>
      <c r="AH203">
        <f>Inputs!$I$6*ABS(E203-1)*Inputs!$H$6</f>
        <v>6.4042485034184693E-2</v>
      </c>
      <c r="AI203">
        <f>Inputs!$I$7*ABS(F203-1)*Inputs!$H$7</f>
        <v>0</v>
      </c>
      <c r="AJ203">
        <f>Inputs!$I$8*ABS(G203-1)*Inputs!$H$8</f>
        <v>5.8391635937893226E-2</v>
      </c>
      <c r="AK203">
        <f>Inputs!$I$9*ABS(H203-1)*Inputs!$H$9</f>
        <v>1.3048927592764261E-2</v>
      </c>
      <c r="AL203">
        <f t="shared" si="28"/>
        <v>-0.14688884540436231</v>
      </c>
      <c r="AN203" s="1">
        <f t="shared" si="29"/>
        <v>0.93017018808107321</v>
      </c>
      <c r="AO203">
        <f t="shared" si="25"/>
        <v>3.7550854221559409E-3</v>
      </c>
      <c r="AP203">
        <f t="shared" si="26"/>
        <v>1.5944724407362309E-3</v>
      </c>
      <c r="AQ203" s="26">
        <f t="shared" si="30"/>
        <v>1.0026582829851773</v>
      </c>
      <c r="AR203">
        <f t="shared" si="31"/>
        <v>-5.9298843278684306E-4</v>
      </c>
    </row>
    <row r="204" spans="1:44" x14ac:dyDescent="0.25">
      <c r="A204">
        <v>1</v>
      </c>
      <c r="B204">
        <v>0</v>
      </c>
      <c r="C204">
        <v>1</v>
      </c>
      <c r="D204">
        <v>0</v>
      </c>
      <c r="E204">
        <v>1</v>
      </c>
      <c r="F204">
        <v>1</v>
      </c>
      <c r="G204">
        <v>0</v>
      </c>
      <c r="H204">
        <v>0</v>
      </c>
      <c r="J204">
        <f>(A204*Inputs!$E$2+ABS((A204-1))*(1-Inputs!$E$2))</f>
        <v>0.65</v>
      </c>
      <c r="K204">
        <f>(B204*Inputs!$E$3+ABS((B204-1))*(1-Inputs!$E$3))</f>
        <v>0.35</v>
      </c>
      <c r="L204">
        <f>(C204*Inputs!$E$4+ABS((C204-1))*(1-Inputs!$E$4))</f>
        <v>0.65</v>
      </c>
      <c r="M204">
        <f>(D204*Inputs!$E$5+ABS((D204-1))*(1-Inputs!$E$5))</f>
        <v>0.35</v>
      </c>
      <c r="N204">
        <f>(E204*Inputs!$E$6+ABS((E204-1))*(1-Inputs!$E$6))</f>
        <v>0.6</v>
      </c>
      <c r="O204">
        <f>(F204*Inputs!$E$7+ABS((F204-1))*(1-Inputs!$E$7))</f>
        <v>0.75</v>
      </c>
      <c r="P204">
        <f>(G204*Inputs!$E$8+ABS((G204-1))*(1-Inputs!$E$8))</f>
        <v>0.4</v>
      </c>
      <c r="Q204">
        <f>(H204*Inputs!$E$9+ABS((H204-1))*(1-Inputs!$E$9))</f>
        <v>0.35</v>
      </c>
      <c r="R204">
        <f t="shared" si="27"/>
        <v>3.2606437499999993E-3</v>
      </c>
      <c r="T204">
        <f>Inputs!$I$2*A204*Inputs!$G$2</f>
        <v>0.52958847736625514</v>
      </c>
      <c r="U204">
        <f>Inputs!$I$3*B204*Inputs!$G$3</f>
        <v>0</v>
      </c>
      <c r="V204">
        <f>Inputs!$I$4*C204*Inputs!$G$4</f>
        <v>0.1422264291528948</v>
      </c>
      <c r="W204">
        <f>Inputs!$I$5*D204*Inputs!$G$5</f>
        <v>0</v>
      </c>
      <c r="X204">
        <f>Inputs!$I$6*E204*Inputs!$G$6</f>
        <v>0.37656981200100598</v>
      </c>
      <c r="Y204">
        <f>Inputs!$I$7*F204*Inputs!$G$7</f>
        <v>0.19972733373941395</v>
      </c>
      <c r="Z204">
        <f>Inputs!$I$8*G204*Inputs!$G$8</f>
        <v>0</v>
      </c>
      <c r="AA204">
        <f>Inputs!$I$9*H204*Inputs!$G$9</f>
        <v>0</v>
      </c>
      <c r="AB204">
        <f t="shared" si="24"/>
        <v>1.2481120522595697</v>
      </c>
      <c r="AD204">
        <f>Inputs!$I$2*ABS(A204-1)*Inputs!$H$2</f>
        <v>0</v>
      </c>
      <c r="AE204">
        <f>Inputs!$I$3*ABS(B204-1)*Inputs!$H$3</f>
        <v>1.1405796839520112E-2</v>
      </c>
      <c r="AF204">
        <f>Inputs!$I$4*ABS(C204-1)*Inputs!$H$4</f>
        <v>0</v>
      </c>
      <c r="AG204">
        <f>Inputs!$I$5*ABS(D204-1)*Inputs!$H$5</f>
        <v>3.0032539984442563E-2</v>
      </c>
      <c r="AH204">
        <f>Inputs!$I$6*ABS(E204-1)*Inputs!$H$6</f>
        <v>0</v>
      </c>
      <c r="AI204">
        <f>Inputs!$I$7*ABS(F204-1)*Inputs!$H$7</f>
        <v>0</v>
      </c>
      <c r="AJ204">
        <f>Inputs!$I$8*ABS(G204-1)*Inputs!$H$8</f>
        <v>5.8391635937893226E-2</v>
      </c>
      <c r="AK204">
        <f>Inputs!$I$9*ABS(H204-1)*Inputs!$H$9</f>
        <v>1.3048927592764261E-2</v>
      </c>
      <c r="AL204">
        <f t="shared" si="28"/>
        <v>-0.11287890035462016</v>
      </c>
      <c r="AN204" s="1">
        <f t="shared" si="29"/>
        <v>1.1352331519049494</v>
      </c>
      <c r="AO204">
        <f t="shared" si="25"/>
        <v>3.7015908815516731E-3</v>
      </c>
      <c r="AP204">
        <f t="shared" si="26"/>
        <v>5.8452811674845461E-4</v>
      </c>
      <c r="AQ204" s="26">
        <f t="shared" si="30"/>
        <v>1.0024765070792296</v>
      </c>
      <c r="AR204">
        <f t="shared" si="31"/>
        <v>-3.6805788094816492E-4</v>
      </c>
    </row>
    <row r="205" spans="1:44" x14ac:dyDescent="0.25">
      <c r="A205">
        <v>1</v>
      </c>
      <c r="B205">
        <v>0</v>
      </c>
      <c r="C205">
        <v>1</v>
      </c>
      <c r="D205">
        <v>0</v>
      </c>
      <c r="E205">
        <v>0</v>
      </c>
      <c r="F205">
        <v>1</v>
      </c>
      <c r="G205">
        <v>0</v>
      </c>
      <c r="H205">
        <v>0</v>
      </c>
      <c r="J205">
        <f>(A205*Inputs!$E$2+ABS((A205-1))*(1-Inputs!$E$2))</f>
        <v>0.65</v>
      </c>
      <c r="K205">
        <f>(B205*Inputs!$E$3+ABS((B205-1))*(1-Inputs!$E$3))</f>
        <v>0.35</v>
      </c>
      <c r="L205">
        <f>(C205*Inputs!$E$4+ABS((C205-1))*(1-Inputs!$E$4))</f>
        <v>0.65</v>
      </c>
      <c r="M205">
        <f>(D205*Inputs!$E$5+ABS((D205-1))*(1-Inputs!$E$5))</f>
        <v>0.35</v>
      </c>
      <c r="N205">
        <f>(E205*Inputs!$E$6+ABS((E205-1))*(1-Inputs!$E$6))</f>
        <v>0.4</v>
      </c>
      <c r="O205">
        <f>(F205*Inputs!$E$7+ABS((F205-1))*(1-Inputs!$E$7))</f>
        <v>0.75</v>
      </c>
      <c r="P205">
        <f>(G205*Inputs!$E$8+ABS((G205-1))*(1-Inputs!$E$8))</f>
        <v>0.4</v>
      </c>
      <c r="Q205">
        <f>(H205*Inputs!$E$9+ABS((H205-1))*(1-Inputs!$E$9))</f>
        <v>0.35</v>
      </c>
      <c r="R205">
        <f t="shared" si="27"/>
        <v>2.1737624999999998E-3</v>
      </c>
      <c r="T205">
        <f>Inputs!$I$2*A205*Inputs!$G$2</f>
        <v>0.52958847736625514</v>
      </c>
      <c r="U205">
        <f>Inputs!$I$3*B205*Inputs!$G$3</f>
        <v>0</v>
      </c>
      <c r="V205">
        <f>Inputs!$I$4*C205*Inputs!$G$4</f>
        <v>0.1422264291528948</v>
      </c>
      <c r="W205">
        <f>Inputs!$I$5*D205*Inputs!$G$5</f>
        <v>0</v>
      </c>
      <c r="X205">
        <f>Inputs!$I$6*E205*Inputs!$G$6</f>
        <v>0</v>
      </c>
      <c r="Y205">
        <f>Inputs!$I$7*F205*Inputs!$G$7</f>
        <v>0.19972733373941395</v>
      </c>
      <c r="Z205">
        <f>Inputs!$I$8*G205*Inputs!$G$8</f>
        <v>0</v>
      </c>
      <c r="AA205">
        <f>Inputs!$I$9*H205*Inputs!$G$9</f>
        <v>0</v>
      </c>
      <c r="AB205">
        <f t="shared" si="24"/>
        <v>0.87154224025856386</v>
      </c>
      <c r="AD205">
        <f>Inputs!$I$2*ABS(A205-1)*Inputs!$H$2</f>
        <v>0</v>
      </c>
      <c r="AE205">
        <f>Inputs!$I$3*ABS(B205-1)*Inputs!$H$3</f>
        <v>1.1405796839520112E-2</v>
      </c>
      <c r="AF205">
        <f>Inputs!$I$4*ABS(C205-1)*Inputs!$H$4</f>
        <v>0</v>
      </c>
      <c r="AG205">
        <f>Inputs!$I$5*ABS(D205-1)*Inputs!$H$5</f>
        <v>3.0032539984442563E-2</v>
      </c>
      <c r="AH205">
        <f>Inputs!$I$6*ABS(E205-1)*Inputs!$H$6</f>
        <v>6.4042485034184693E-2</v>
      </c>
      <c r="AI205">
        <f>Inputs!$I$7*ABS(F205-1)*Inputs!$H$7</f>
        <v>0</v>
      </c>
      <c r="AJ205">
        <f>Inputs!$I$8*ABS(G205-1)*Inputs!$H$8</f>
        <v>5.8391635937893226E-2</v>
      </c>
      <c r="AK205">
        <f>Inputs!$I$9*ABS(H205-1)*Inputs!$H$9</f>
        <v>1.3048927592764261E-2</v>
      </c>
      <c r="AL205">
        <f t="shared" si="28"/>
        <v>-0.17692138538880486</v>
      </c>
      <c r="AN205" s="1">
        <f t="shared" si="29"/>
        <v>0.694620854869759</v>
      </c>
      <c r="AO205">
        <f t="shared" si="25"/>
        <v>1.5099407660338245E-3</v>
      </c>
      <c r="AP205">
        <f t="shared" si="26"/>
        <v>1.6227518386262949E-3</v>
      </c>
      <c r="AQ205" s="26">
        <f t="shared" si="30"/>
        <v>1.0011472282261082</v>
      </c>
      <c r="AR205">
        <f t="shared" si="31"/>
        <v>-3.8458507300623192E-4</v>
      </c>
    </row>
    <row r="206" spans="1:44" x14ac:dyDescent="0.25">
      <c r="A206">
        <v>1</v>
      </c>
      <c r="B206">
        <v>0</v>
      </c>
      <c r="C206">
        <v>0</v>
      </c>
      <c r="D206">
        <v>1</v>
      </c>
      <c r="E206">
        <v>1</v>
      </c>
      <c r="F206">
        <v>1</v>
      </c>
      <c r="G206">
        <v>0</v>
      </c>
      <c r="H206">
        <v>0</v>
      </c>
      <c r="J206">
        <f>(A206*Inputs!$E$2+ABS((A206-1))*(1-Inputs!$E$2))</f>
        <v>0.65</v>
      </c>
      <c r="K206">
        <f>(B206*Inputs!$E$3+ABS((B206-1))*(1-Inputs!$E$3))</f>
        <v>0.35</v>
      </c>
      <c r="L206">
        <f>(C206*Inputs!$E$4+ABS((C206-1))*(1-Inputs!$E$4))</f>
        <v>0.35</v>
      </c>
      <c r="M206">
        <f>(D206*Inputs!$E$5+ABS((D206-1))*(1-Inputs!$E$5))</f>
        <v>0.65</v>
      </c>
      <c r="N206">
        <f>(E206*Inputs!$E$6+ABS((E206-1))*(1-Inputs!$E$6))</f>
        <v>0.6</v>
      </c>
      <c r="O206">
        <f>(F206*Inputs!$E$7+ABS((F206-1))*(1-Inputs!$E$7))</f>
        <v>0.75</v>
      </c>
      <c r="P206">
        <f>(G206*Inputs!$E$8+ABS((G206-1))*(1-Inputs!$E$8))</f>
        <v>0.4</v>
      </c>
      <c r="Q206">
        <f>(H206*Inputs!$E$9+ABS((H206-1))*(1-Inputs!$E$9))</f>
        <v>0.35</v>
      </c>
      <c r="R206">
        <f t="shared" si="27"/>
        <v>3.2606437499999997E-3</v>
      </c>
      <c r="T206">
        <f>Inputs!$I$2*A206*Inputs!$G$2</f>
        <v>0.52958847736625514</v>
      </c>
      <c r="U206">
        <f>Inputs!$I$3*B206*Inputs!$G$3</f>
        <v>0</v>
      </c>
      <c r="V206">
        <f>Inputs!$I$4*C206*Inputs!$G$4</f>
        <v>0</v>
      </c>
      <c r="W206">
        <f>Inputs!$I$5*D206*Inputs!$G$5</f>
        <v>0.20551679322687164</v>
      </c>
      <c r="X206">
        <f>Inputs!$I$6*E206*Inputs!$G$6</f>
        <v>0.37656981200100598</v>
      </c>
      <c r="Y206">
        <f>Inputs!$I$7*F206*Inputs!$G$7</f>
        <v>0.19972733373941395</v>
      </c>
      <c r="Z206">
        <f>Inputs!$I$8*G206*Inputs!$G$8</f>
        <v>0</v>
      </c>
      <c r="AA206">
        <f>Inputs!$I$9*H206*Inputs!$G$9</f>
        <v>0</v>
      </c>
      <c r="AB206">
        <f t="shared" si="24"/>
        <v>1.3114024163335467</v>
      </c>
      <c r="AD206">
        <f>Inputs!$I$2*ABS(A206-1)*Inputs!$H$2</f>
        <v>0</v>
      </c>
      <c r="AE206">
        <f>Inputs!$I$3*ABS(B206-1)*Inputs!$H$3</f>
        <v>1.1405796839520112E-2</v>
      </c>
      <c r="AF206">
        <f>Inputs!$I$4*ABS(C206-1)*Inputs!$H$4</f>
        <v>8.9678988679000853E-3</v>
      </c>
      <c r="AG206">
        <f>Inputs!$I$5*ABS(D206-1)*Inputs!$H$5</f>
        <v>0</v>
      </c>
      <c r="AH206">
        <f>Inputs!$I$6*ABS(E206-1)*Inputs!$H$6</f>
        <v>0</v>
      </c>
      <c r="AI206">
        <f>Inputs!$I$7*ABS(F206-1)*Inputs!$H$7</f>
        <v>0</v>
      </c>
      <c r="AJ206">
        <f>Inputs!$I$8*ABS(G206-1)*Inputs!$H$8</f>
        <v>5.8391635937893226E-2</v>
      </c>
      <c r="AK206">
        <f>Inputs!$I$9*ABS(H206-1)*Inputs!$H$9</f>
        <v>1.3048927592764261E-2</v>
      </c>
      <c r="AL206">
        <f t="shared" si="28"/>
        <v>-9.1814259238077678E-2</v>
      </c>
      <c r="AN206" s="1">
        <f t="shared" si="29"/>
        <v>1.219588157095469</v>
      </c>
      <c r="AO206">
        <f t="shared" si="25"/>
        <v>3.9766425020073591E-3</v>
      </c>
      <c r="AP206">
        <f t="shared" si="26"/>
        <v>3.7481629224542392E-4</v>
      </c>
      <c r="AQ206" s="26">
        <f t="shared" si="30"/>
        <v>1.0026031642634441</v>
      </c>
      <c r="AR206">
        <f t="shared" si="31"/>
        <v>-2.9937359054551773E-4</v>
      </c>
    </row>
    <row r="207" spans="1:44" x14ac:dyDescent="0.25">
      <c r="A207">
        <v>1</v>
      </c>
      <c r="B207">
        <v>0</v>
      </c>
      <c r="C207">
        <v>0</v>
      </c>
      <c r="D207">
        <v>1</v>
      </c>
      <c r="E207">
        <v>0</v>
      </c>
      <c r="F207">
        <v>1</v>
      </c>
      <c r="G207">
        <v>0</v>
      </c>
      <c r="H207">
        <v>0</v>
      </c>
      <c r="J207">
        <f>(A207*Inputs!$E$2+ABS((A207-1))*(1-Inputs!$E$2))</f>
        <v>0.65</v>
      </c>
      <c r="K207">
        <f>(B207*Inputs!$E$3+ABS((B207-1))*(1-Inputs!$E$3))</f>
        <v>0.35</v>
      </c>
      <c r="L207">
        <f>(C207*Inputs!$E$4+ABS((C207-1))*(1-Inputs!$E$4))</f>
        <v>0.35</v>
      </c>
      <c r="M207">
        <f>(D207*Inputs!$E$5+ABS((D207-1))*(1-Inputs!$E$5))</f>
        <v>0.65</v>
      </c>
      <c r="N207">
        <f>(E207*Inputs!$E$6+ABS((E207-1))*(1-Inputs!$E$6))</f>
        <v>0.4</v>
      </c>
      <c r="O207">
        <f>(F207*Inputs!$E$7+ABS((F207-1))*(1-Inputs!$E$7))</f>
        <v>0.75</v>
      </c>
      <c r="P207">
        <f>(G207*Inputs!$E$8+ABS((G207-1))*(1-Inputs!$E$8))</f>
        <v>0.4</v>
      </c>
      <c r="Q207">
        <f>(H207*Inputs!$E$9+ABS((H207-1))*(1-Inputs!$E$9))</f>
        <v>0.35</v>
      </c>
      <c r="R207">
        <f t="shared" si="27"/>
        <v>2.1737624999999998E-3</v>
      </c>
      <c r="T207">
        <f>Inputs!$I$2*A207*Inputs!$G$2</f>
        <v>0.52958847736625514</v>
      </c>
      <c r="U207">
        <f>Inputs!$I$3*B207*Inputs!$G$3</f>
        <v>0</v>
      </c>
      <c r="V207">
        <f>Inputs!$I$4*C207*Inputs!$G$4</f>
        <v>0</v>
      </c>
      <c r="W207">
        <f>Inputs!$I$5*D207*Inputs!$G$5</f>
        <v>0.20551679322687164</v>
      </c>
      <c r="X207">
        <f>Inputs!$I$6*E207*Inputs!$G$6</f>
        <v>0</v>
      </c>
      <c r="Y207">
        <f>Inputs!$I$7*F207*Inputs!$G$7</f>
        <v>0.19972733373941395</v>
      </c>
      <c r="Z207">
        <f>Inputs!$I$8*G207*Inputs!$G$8</f>
        <v>0</v>
      </c>
      <c r="AA207">
        <f>Inputs!$I$9*H207*Inputs!$G$9</f>
        <v>0</v>
      </c>
      <c r="AB207">
        <f t="shared" si="24"/>
        <v>0.93483260433254078</v>
      </c>
      <c r="AD207">
        <f>Inputs!$I$2*ABS(A207-1)*Inputs!$H$2</f>
        <v>0</v>
      </c>
      <c r="AE207">
        <f>Inputs!$I$3*ABS(B207-1)*Inputs!$H$3</f>
        <v>1.1405796839520112E-2</v>
      </c>
      <c r="AF207">
        <f>Inputs!$I$4*ABS(C207-1)*Inputs!$H$4</f>
        <v>8.9678988679000853E-3</v>
      </c>
      <c r="AG207">
        <f>Inputs!$I$5*ABS(D207-1)*Inputs!$H$5</f>
        <v>0</v>
      </c>
      <c r="AH207">
        <f>Inputs!$I$6*ABS(E207-1)*Inputs!$H$6</f>
        <v>6.4042485034184693E-2</v>
      </c>
      <c r="AI207">
        <f>Inputs!$I$7*ABS(F207-1)*Inputs!$H$7</f>
        <v>0</v>
      </c>
      <c r="AJ207">
        <f>Inputs!$I$8*ABS(G207-1)*Inputs!$H$8</f>
        <v>5.8391635937893226E-2</v>
      </c>
      <c r="AK207">
        <f>Inputs!$I$9*ABS(H207-1)*Inputs!$H$9</f>
        <v>1.3048927592764261E-2</v>
      </c>
      <c r="AL207">
        <f t="shared" si="28"/>
        <v>-0.1558567442722624</v>
      </c>
      <c r="AN207" s="1">
        <f t="shared" si="29"/>
        <v>0.77897586006027841</v>
      </c>
      <c r="AO207">
        <f t="shared" si="25"/>
        <v>1.6933085130042809E-3</v>
      </c>
      <c r="AP207">
        <f t="shared" si="26"/>
        <v>1.3213557872346338E-3</v>
      </c>
      <c r="AQ207" s="26">
        <f t="shared" si="30"/>
        <v>1.0012529537449348</v>
      </c>
      <c r="AR207">
        <f t="shared" si="31"/>
        <v>-3.3879554607113376E-4</v>
      </c>
    </row>
    <row r="208" spans="1:44" x14ac:dyDescent="0.25">
      <c r="A208">
        <v>1</v>
      </c>
      <c r="B208">
        <v>0</v>
      </c>
      <c r="C208">
        <v>0</v>
      </c>
      <c r="D208">
        <v>0</v>
      </c>
      <c r="E208">
        <v>1</v>
      </c>
      <c r="F208">
        <v>1</v>
      </c>
      <c r="G208">
        <v>0</v>
      </c>
      <c r="H208">
        <v>0</v>
      </c>
      <c r="J208">
        <f>(A208*Inputs!$E$2+ABS((A208-1))*(1-Inputs!$E$2))</f>
        <v>0.65</v>
      </c>
      <c r="K208">
        <f>(B208*Inputs!$E$3+ABS((B208-1))*(1-Inputs!$E$3))</f>
        <v>0.35</v>
      </c>
      <c r="L208">
        <f>(C208*Inputs!$E$4+ABS((C208-1))*(1-Inputs!$E$4))</f>
        <v>0.35</v>
      </c>
      <c r="M208">
        <f>(D208*Inputs!$E$5+ABS((D208-1))*(1-Inputs!$E$5))</f>
        <v>0.35</v>
      </c>
      <c r="N208">
        <f>(E208*Inputs!$E$6+ABS((E208-1))*(1-Inputs!$E$6))</f>
        <v>0.6</v>
      </c>
      <c r="O208">
        <f>(F208*Inputs!$E$7+ABS((F208-1))*(1-Inputs!$E$7))</f>
        <v>0.75</v>
      </c>
      <c r="P208">
        <f>(G208*Inputs!$E$8+ABS((G208-1))*(1-Inputs!$E$8))</f>
        <v>0.4</v>
      </c>
      <c r="Q208">
        <f>(H208*Inputs!$E$9+ABS((H208-1))*(1-Inputs!$E$9))</f>
        <v>0.35</v>
      </c>
      <c r="R208">
        <f t="shared" si="27"/>
        <v>1.7557312499999998E-3</v>
      </c>
      <c r="T208">
        <f>Inputs!$I$2*A208*Inputs!$G$2</f>
        <v>0.52958847736625514</v>
      </c>
      <c r="U208">
        <f>Inputs!$I$3*B208*Inputs!$G$3</f>
        <v>0</v>
      </c>
      <c r="V208">
        <f>Inputs!$I$4*C208*Inputs!$G$4</f>
        <v>0</v>
      </c>
      <c r="W208">
        <f>Inputs!$I$5*D208*Inputs!$G$5</f>
        <v>0</v>
      </c>
      <c r="X208">
        <f>Inputs!$I$6*E208*Inputs!$G$6</f>
        <v>0.37656981200100598</v>
      </c>
      <c r="Y208">
        <f>Inputs!$I$7*F208*Inputs!$G$7</f>
        <v>0.19972733373941395</v>
      </c>
      <c r="Z208">
        <f>Inputs!$I$8*G208*Inputs!$G$8</f>
        <v>0</v>
      </c>
      <c r="AA208">
        <f>Inputs!$I$9*H208*Inputs!$G$9</f>
        <v>0</v>
      </c>
      <c r="AB208">
        <f t="shared" si="24"/>
        <v>1.1058856231066749</v>
      </c>
      <c r="AD208">
        <f>Inputs!$I$2*ABS(A208-1)*Inputs!$H$2</f>
        <v>0</v>
      </c>
      <c r="AE208">
        <f>Inputs!$I$3*ABS(B208-1)*Inputs!$H$3</f>
        <v>1.1405796839520112E-2</v>
      </c>
      <c r="AF208">
        <f>Inputs!$I$4*ABS(C208-1)*Inputs!$H$4</f>
        <v>8.9678988679000853E-3</v>
      </c>
      <c r="AG208">
        <f>Inputs!$I$5*ABS(D208-1)*Inputs!$H$5</f>
        <v>3.0032539984442563E-2</v>
      </c>
      <c r="AH208">
        <f>Inputs!$I$6*ABS(E208-1)*Inputs!$H$6</f>
        <v>0</v>
      </c>
      <c r="AI208">
        <f>Inputs!$I$7*ABS(F208-1)*Inputs!$H$7</f>
        <v>0</v>
      </c>
      <c r="AJ208">
        <f>Inputs!$I$8*ABS(G208-1)*Inputs!$H$8</f>
        <v>5.8391635937893226E-2</v>
      </c>
      <c r="AK208">
        <f>Inputs!$I$9*ABS(H208-1)*Inputs!$H$9</f>
        <v>1.3048927592764261E-2</v>
      </c>
      <c r="AL208">
        <f t="shared" si="28"/>
        <v>-0.12184679922252024</v>
      </c>
      <c r="AN208" s="1">
        <f t="shared" si="29"/>
        <v>0.98403882388415465</v>
      </c>
      <c r="AO208">
        <f t="shared" si="25"/>
        <v>1.7277077143066566E-3</v>
      </c>
      <c r="AP208">
        <f t="shared" si="26"/>
        <v>5.7967018659194275E-4</v>
      </c>
      <c r="AQ208" s="26">
        <f t="shared" si="30"/>
        <v>1.0012036359766321</v>
      </c>
      <c r="AR208">
        <f t="shared" si="31"/>
        <v>-2.1393023310745449E-4</v>
      </c>
    </row>
    <row r="209" spans="1:44" x14ac:dyDescent="0.25">
      <c r="A209">
        <v>1</v>
      </c>
      <c r="B209">
        <v>0</v>
      </c>
      <c r="C209">
        <v>0</v>
      </c>
      <c r="D209">
        <v>0</v>
      </c>
      <c r="E209">
        <v>0</v>
      </c>
      <c r="F209">
        <v>1</v>
      </c>
      <c r="G209">
        <v>0</v>
      </c>
      <c r="H209">
        <v>0</v>
      </c>
      <c r="J209">
        <f>(A209*Inputs!$E$2+ABS((A209-1))*(1-Inputs!$E$2))</f>
        <v>0.65</v>
      </c>
      <c r="K209">
        <f>(B209*Inputs!$E$3+ABS((B209-1))*(1-Inputs!$E$3))</f>
        <v>0.35</v>
      </c>
      <c r="L209">
        <f>(C209*Inputs!$E$4+ABS((C209-1))*(1-Inputs!$E$4))</f>
        <v>0.35</v>
      </c>
      <c r="M209">
        <f>(D209*Inputs!$E$5+ABS((D209-1))*(1-Inputs!$E$5))</f>
        <v>0.35</v>
      </c>
      <c r="N209">
        <f>(E209*Inputs!$E$6+ABS((E209-1))*(1-Inputs!$E$6))</f>
        <v>0.4</v>
      </c>
      <c r="O209">
        <f>(F209*Inputs!$E$7+ABS((F209-1))*(1-Inputs!$E$7))</f>
        <v>0.75</v>
      </c>
      <c r="P209">
        <f>(G209*Inputs!$E$8+ABS((G209-1))*(1-Inputs!$E$8))</f>
        <v>0.4</v>
      </c>
      <c r="Q209">
        <f>(H209*Inputs!$E$9+ABS((H209-1))*(1-Inputs!$E$9))</f>
        <v>0.35</v>
      </c>
      <c r="R209">
        <f t="shared" si="27"/>
        <v>1.1704874999999997E-3</v>
      </c>
      <c r="T209">
        <f>Inputs!$I$2*A209*Inputs!$G$2</f>
        <v>0.52958847736625514</v>
      </c>
      <c r="U209">
        <f>Inputs!$I$3*B209*Inputs!$G$3</f>
        <v>0</v>
      </c>
      <c r="V209">
        <f>Inputs!$I$4*C209*Inputs!$G$4</f>
        <v>0</v>
      </c>
      <c r="W209">
        <f>Inputs!$I$5*D209*Inputs!$G$5</f>
        <v>0</v>
      </c>
      <c r="X209">
        <f>Inputs!$I$6*E209*Inputs!$G$6</f>
        <v>0</v>
      </c>
      <c r="Y209">
        <f>Inputs!$I$7*F209*Inputs!$G$7</f>
        <v>0.19972733373941395</v>
      </c>
      <c r="Z209">
        <f>Inputs!$I$8*G209*Inputs!$G$8</f>
        <v>0</v>
      </c>
      <c r="AA209">
        <f>Inputs!$I$9*H209*Inputs!$G$9</f>
        <v>0</v>
      </c>
      <c r="AB209">
        <f t="shared" si="24"/>
        <v>0.72931581110566912</v>
      </c>
      <c r="AD209">
        <f>Inputs!$I$2*ABS(A209-1)*Inputs!$H$2</f>
        <v>0</v>
      </c>
      <c r="AE209">
        <f>Inputs!$I$3*ABS(B209-1)*Inputs!$H$3</f>
        <v>1.1405796839520112E-2</v>
      </c>
      <c r="AF209">
        <f>Inputs!$I$4*ABS(C209-1)*Inputs!$H$4</f>
        <v>8.9678988679000853E-3</v>
      </c>
      <c r="AG209">
        <f>Inputs!$I$5*ABS(D209-1)*Inputs!$H$5</f>
        <v>3.0032539984442563E-2</v>
      </c>
      <c r="AH209">
        <f>Inputs!$I$6*ABS(E209-1)*Inputs!$H$6</f>
        <v>6.4042485034184693E-2</v>
      </c>
      <c r="AI209">
        <f>Inputs!$I$7*ABS(F209-1)*Inputs!$H$7</f>
        <v>0</v>
      </c>
      <c r="AJ209">
        <f>Inputs!$I$8*ABS(G209-1)*Inputs!$H$8</f>
        <v>5.8391635937893226E-2</v>
      </c>
      <c r="AK209">
        <f>Inputs!$I$9*ABS(H209-1)*Inputs!$H$9</f>
        <v>1.3048927592764261E-2</v>
      </c>
      <c r="AL209">
        <f t="shared" si="28"/>
        <v>-0.18588928425670495</v>
      </c>
      <c r="AN209" s="1">
        <f t="shared" si="29"/>
        <v>0.5434265268489642</v>
      </c>
      <c r="AO209">
        <f t="shared" si="25"/>
        <v>6.3607395684512681E-4</v>
      </c>
      <c r="AP209">
        <f t="shared" si="26"/>
        <v>1.2063568968381645E-3</v>
      </c>
      <c r="AQ209" s="26">
        <f t="shared" si="30"/>
        <v>1.0005081264356854</v>
      </c>
      <c r="AR209">
        <f t="shared" si="31"/>
        <v>-2.1758108360641989E-4</v>
      </c>
    </row>
    <row r="210" spans="1:44" x14ac:dyDescent="0.25">
      <c r="A210">
        <v>0</v>
      </c>
      <c r="B210">
        <v>1</v>
      </c>
      <c r="C210">
        <v>1</v>
      </c>
      <c r="D210">
        <v>1</v>
      </c>
      <c r="E210">
        <v>1</v>
      </c>
      <c r="F210">
        <v>1</v>
      </c>
      <c r="G210">
        <v>0</v>
      </c>
      <c r="H210">
        <v>0</v>
      </c>
      <c r="J210">
        <f>(A210*Inputs!$E$2+ABS((A210-1))*(1-Inputs!$E$2))</f>
        <v>0.35</v>
      </c>
      <c r="K210">
        <f>(B210*Inputs!$E$3+ABS((B210-1))*(1-Inputs!$E$3))</f>
        <v>0.65</v>
      </c>
      <c r="L210">
        <f>(C210*Inputs!$E$4+ABS((C210-1))*(1-Inputs!$E$4))</f>
        <v>0.65</v>
      </c>
      <c r="M210">
        <f>(D210*Inputs!$E$5+ABS((D210-1))*(1-Inputs!$E$5))</f>
        <v>0.65</v>
      </c>
      <c r="N210">
        <f>(E210*Inputs!$E$6+ABS((E210-1))*(1-Inputs!$E$6))</f>
        <v>0.6</v>
      </c>
      <c r="O210">
        <f>(F210*Inputs!$E$7+ABS((F210-1))*(1-Inputs!$E$7))</f>
        <v>0.75</v>
      </c>
      <c r="P210">
        <f>(G210*Inputs!$E$8+ABS((G210-1))*(1-Inputs!$E$8))</f>
        <v>0.4</v>
      </c>
      <c r="Q210">
        <f>(H210*Inputs!$E$9+ABS((H210-1))*(1-Inputs!$E$9))</f>
        <v>0.35</v>
      </c>
      <c r="R210">
        <f t="shared" si="27"/>
        <v>6.0554812499999987E-3</v>
      </c>
      <c r="T210">
        <f>Inputs!$I$2*A210*Inputs!$G$2</f>
        <v>0</v>
      </c>
      <c r="U210">
        <f>Inputs!$I$3*B210*Inputs!$G$3</f>
        <v>0.20645773829738062</v>
      </c>
      <c r="V210">
        <f>Inputs!$I$4*C210*Inputs!$G$4</f>
        <v>0.1422264291528948</v>
      </c>
      <c r="W210">
        <f>Inputs!$I$5*D210*Inputs!$G$5</f>
        <v>0.20551679322687164</v>
      </c>
      <c r="X210">
        <f>Inputs!$I$6*E210*Inputs!$G$6</f>
        <v>0.37656981200100598</v>
      </c>
      <c r="Y210">
        <f>Inputs!$I$7*F210*Inputs!$G$7</f>
        <v>0.19972733373941395</v>
      </c>
      <c r="Z210">
        <f>Inputs!$I$8*G210*Inputs!$G$8</f>
        <v>0</v>
      </c>
      <c r="AA210">
        <f>Inputs!$I$9*H210*Inputs!$G$9</f>
        <v>0</v>
      </c>
      <c r="AB210">
        <f t="shared" si="24"/>
        <v>1.130498106417567</v>
      </c>
      <c r="AD210">
        <f>Inputs!$I$2*ABS(A210-1)*Inputs!$H$2</f>
        <v>3.0082304526748989E-2</v>
      </c>
      <c r="AE210">
        <f>Inputs!$I$3*ABS(B210-1)*Inputs!$H$3</f>
        <v>0</v>
      </c>
      <c r="AF210">
        <f>Inputs!$I$4*ABS(C210-1)*Inputs!$H$4</f>
        <v>0</v>
      </c>
      <c r="AG210">
        <f>Inputs!$I$5*ABS(D210-1)*Inputs!$H$5</f>
        <v>0</v>
      </c>
      <c r="AH210">
        <f>Inputs!$I$6*ABS(E210-1)*Inputs!$H$6</f>
        <v>0</v>
      </c>
      <c r="AI210">
        <f>Inputs!$I$7*ABS(F210-1)*Inputs!$H$7</f>
        <v>0</v>
      </c>
      <c r="AJ210">
        <f>Inputs!$I$8*ABS(G210-1)*Inputs!$H$8</f>
        <v>5.8391635937893226E-2</v>
      </c>
      <c r="AK210">
        <f>Inputs!$I$9*ABS(H210-1)*Inputs!$H$9</f>
        <v>1.3048927592764261E-2</v>
      </c>
      <c r="AL210">
        <f t="shared" si="28"/>
        <v>-0.10152286805740647</v>
      </c>
      <c r="AN210" s="1">
        <f t="shared" si="29"/>
        <v>1.0289752383601605</v>
      </c>
      <c r="AO210">
        <f t="shared" si="25"/>
        <v>6.2309402626042308E-3</v>
      </c>
      <c r="AP210">
        <f t="shared" si="26"/>
        <v>1.698790690222444E-3</v>
      </c>
      <c r="AQ210" s="26">
        <f t="shared" si="30"/>
        <v>1.0042936311720332</v>
      </c>
      <c r="AR210">
        <f t="shared" si="31"/>
        <v>-6.1476982396784863E-4</v>
      </c>
    </row>
    <row r="211" spans="1:44" x14ac:dyDescent="0.25">
      <c r="A211">
        <v>0</v>
      </c>
      <c r="B211">
        <v>1</v>
      </c>
      <c r="C211">
        <v>1</v>
      </c>
      <c r="D211">
        <v>1</v>
      </c>
      <c r="E211">
        <v>0</v>
      </c>
      <c r="F211">
        <v>1</v>
      </c>
      <c r="G211">
        <v>0</v>
      </c>
      <c r="H211">
        <v>0</v>
      </c>
      <c r="J211">
        <f>(A211*Inputs!$E$2+ABS((A211-1))*(1-Inputs!$E$2))</f>
        <v>0.35</v>
      </c>
      <c r="K211">
        <f>(B211*Inputs!$E$3+ABS((B211-1))*(1-Inputs!$E$3))</f>
        <v>0.65</v>
      </c>
      <c r="L211">
        <f>(C211*Inputs!$E$4+ABS((C211-1))*(1-Inputs!$E$4))</f>
        <v>0.65</v>
      </c>
      <c r="M211">
        <f>(D211*Inputs!$E$5+ABS((D211-1))*(1-Inputs!$E$5))</f>
        <v>0.65</v>
      </c>
      <c r="N211">
        <f>(E211*Inputs!$E$6+ABS((E211-1))*(1-Inputs!$E$6))</f>
        <v>0.4</v>
      </c>
      <c r="O211">
        <f>(F211*Inputs!$E$7+ABS((F211-1))*(1-Inputs!$E$7))</f>
        <v>0.75</v>
      </c>
      <c r="P211">
        <f>(G211*Inputs!$E$8+ABS((G211-1))*(1-Inputs!$E$8))</f>
        <v>0.4</v>
      </c>
      <c r="Q211">
        <f>(H211*Inputs!$E$9+ABS((H211-1))*(1-Inputs!$E$9))</f>
        <v>0.35</v>
      </c>
      <c r="R211">
        <f t="shared" si="27"/>
        <v>4.0369874999999994E-3</v>
      </c>
      <c r="T211">
        <f>Inputs!$I$2*A211*Inputs!$G$2</f>
        <v>0</v>
      </c>
      <c r="U211">
        <f>Inputs!$I$3*B211*Inputs!$G$3</f>
        <v>0.20645773829738062</v>
      </c>
      <c r="V211">
        <f>Inputs!$I$4*C211*Inputs!$G$4</f>
        <v>0.1422264291528948</v>
      </c>
      <c r="W211">
        <f>Inputs!$I$5*D211*Inputs!$G$5</f>
        <v>0.20551679322687164</v>
      </c>
      <c r="X211">
        <f>Inputs!$I$6*E211*Inputs!$G$6</f>
        <v>0</v>
      </c>
      <c r="Y211">
        <f>Inputs!$I$7*F211*Inputs!$G$7</f>
        <v>0.19972733373941395</v>
      </c>
      <c r="Z211">
        <f>Inputs!$I$8*G211*Inputs!$G$8</f>
        <v>0</v>
      </c>
      <c r="AA211">
        <f>Inputs!$I$9*H211*Inputs!$G$9</f>
        <v>0</v>
      </c>
      <c r="AB211">
        <f t="shared" si="24"/>
        <v>0.75392829441656106</v>
      </c>
      <c r="AD211">
        <f>Inputs!$I$2*ABS(A211-1)*Inputs!$H$2</f>
        <v>3.0082304526748989E-2</v>
      </c>
      <c r="AE211">
        <f>Inputs!$I$3*ABS(B211-1)*Inputs!$H$3</f>
        <v>0</v>
      </c>
      <c r="AF211">
        <f>Inputs!$I$4*ABS(C211-1)*Inputs!$H$4</f>
        <v>0</v>
      </c>
      <c r="AG211">
        <f>Inputs!$I$5*ABS(D211-1)*Inputs!$H$5</f>
        <v>0</v>
      </c>
      <c r="AH211">
        <f>Inputs!$I$6*ABS(E211-1)*Inputs!$H$6</f>
        <v>6.4042485034184693E-2</v>
      </c>
      <c r="AI211">
        <f>Inputs!$I$7*ABS(F211-1)*Inputs!$H$7</f>
        <v>0</v>
      </c>
      <c r="AJ211">
        <f>Inputs!$I$8*ABS(G211-1)*Inputs!$H$8</f>
        <v>5.8391635937893226E-2</v>
      </c>
      <c r="AK211">
        <f>Inputs!$I$9*ABS(H211-1)*Inputs!$H$9</f>
        <v>1.3048927592764261E-2</v>
      </c>
      <c r="AL211">
        <f t="shared" si="28"/>
        <v>-0.16556535309159118</v>
      </c>
      <c r="AN211" s="1">
        <f t="shared" si="29"/>
        <v>0.58836294132496991</v>
      </c>
      <c r="AO211">
        <f t="shared" si="25"/>
        <v>2.3752138395921369E-3</v>
      </c>
      <c r="AP211">
        <f t="shared" si="26"/>
        <v>3.8005193836227109E-3</v>
      </c>
      <c r="AQ211" s="26">
        <f t="shared" si="30"/>
        <v>1.0018696754844902</v>
      </c>
      <c r="AR211">
        <f t="shared" si="31"/>
        <v>-6.6838526086383983E-4</v>
      </c>
    </row>
    <row r="212" spans="1:44" x14ac:dyDescent="0.25">
      <c r="A212">
        <v>0</v>
      </c>
      <c r="B212">
        <v>1</v>
      </c>
      <c r="C212">
        <v>1</v>
      </c>
      <c r="D212">
        <v>0</v>
      </c>
      <c r="E212">
        <v>1</v>
      </c>
      <c r="F212">
        <v>1</v>
      </c>
      <c r="G212">
        <v>0</v>
      </c>
      <c r="H212">
        <v>0</v>
      </c>
      <c r="J212">
        <f>(A212*Inputs!$E$2+ABS((A212-1))*(1-Inputs!$E$2))</f>
        <v>0.35</v>
      </c>
      <c r="K212">
        <f>(B212*Inputs!$E$3+ABS((B212-1))*(1-Inputs!$E$3))</f>
        <v>0.65</v>
      </c>
      <c r="L212">
        <f>(C212*Inputs!$E$4+ABS((C212-1))*(1-Inputs!$E$4))</f>
        <v>0.65</v>
      </c>
      <c r="M212">
        <f>(D212*Inputs!$E$5+ABS((D212-1))*(1-Inputs!$E$5))</f>
        <v>0.35</v>
      </c>
      <c r="N212">
        <f>(E212*Inputs!$E$6+ABS((E212-1))*(1-Inputs!$E$6))</f>
        <v>0.6</v>
      </c>
      <c r="O212">
        <f>(F212*Inputs!$E$7+ABS((F212-1))*(1-Inputs!$E$7))</f>
        <v>0.75</v>
      </c>
      <c r="P212">
        <f>(G212*Inputs!$E$8+ABS((G212-1))*(1-Inputs!$E$8))</f>
        <v>0.4</v>
      </c>
      <c r="Q212">
        <f>(H212*Inputs!$E$9+ABS((H212-1))*(1-Inputs!$E$9))</f>
        <v>0.35</v>
      </c>
      <c r="R212">
        <f t="shared" si="27"/>
        <v>3.2606437499999993E-3</v>
      </c>
      <c r="T212">
        <f>Inputs!$I$2*A212*Inputs!$G$2</f>
        <v>0</v>
      </c>
      <c r="U212">
        <f>Inputs!$I$3*B212*Inputs!$G$3</f>
        <v>0.20645773829738062</v>
      </c>
      <c r="V212">
        <f>Inputs!$I$4*C212*Inputs!$G$4</f>
        <v>0.1422264291528948</v>
      </c>
      <c r="W212">
        <f>Inputs!$I$5*D212*Inputs!$G$5</f>
        <v>0</v>
      </c>
      <c r="X212">
        <f>Inputs!$I$6*E212*Inputs!$G$6</f>
        <v>0.37656981200100598</v>
      </c>
      <c r="Y212">
        <f>Inputs!$I$7*F212*Inputs!$G$7</f>
        <v>0.19972733373941395</v>
      </c>
      <c r="Z212">
        <f>Inputs!$I$8*G212*Inputs!$G$8</f>
        <v>0</v>
      </c>
      <c r="AA212">
        <f>Inputs!$I$9*H212*Inputs!$G$9</f>
        <v>0</v>
      </c>
      <c r="AB212">
        <f t="shared" si="24"/>
        <v>0.92498131319069532</v>
      </c>
      <c r="AD212">
        <f>Inputs!$I$2*ABS(A212-1)*Inputs!$H$2</f>
        <v>3.0082304526748989E-2</v>
      </c>
      <c r="AE212">
        <f>Inputs!$I$3*ABS(B212-1)*Inputs!$H$3</f>
        <v>0</v>
      </c>
      <c r="AF212">
        <f>Inputs!$I$4*ABS(C212-1)*Inputs!$H$4</f>
        <v>0</v>
      </c>
      <c r="AG212">
        <f>Inputs!$I$5*ABS(D212-1)*Inputs!$H$5</f>
        <v>3.0032539984442563E-2</v>
      </c>
      <c r="AH212">
        <f>Inputs!$I$6*ABS(E212-1)*Inputs!$H$6</f>
        <v>0</v>
      </c>
      <c r="AI212">
        <f>Inputs!$I$7*ABS(F212-1)*Inputs!$H$7</f>
        <v>0</v>
      </c>
      <c r="AJ212">
        <f>Inputs!$I$8*ABS(G212-1)*Inputs!$H$8</f>
        <v>5.8391635937893226E-2</v>
      </c>
      <c r="AK212">
        <f>Inputs!$I$9*ABS(H212-1)*Inputs!$H$9</f>
        <v>1.3048927592764261E-2</v>
      </c>
      <c r="AL212">
        <f t="shared" si="28"/>
        <v>-0.13155540804184904</v>
      </c>
      <c r="AN212" s="1">
        <f t="shared" si="29"/>
        <v>0.79342590514884626</v>
      </c>
      <c r="AO212">
        <f t="shared" si="25"/>
        <v>2.5870792187116776E-3</v>
      </c>
      <c r="AP212">
        <f t="shared" si="26"/>
        <v>1.9092451333295032E-3</v>
      </c>
      <c r="AQ212" s="26">
        <f t="shared" si="30"/>
        <v>1.0019064473120085</v>
      </c>
      <c r="AR212">
        <f t="shared" si="31"/>
        <v>-4.2895531901035471E-4</v>
      </c>
    </row>
    <row r="213" spans="1:44" x14ac:dyDescent="0.25">
      <c r="A213">
        <v>0</v>
      </c>
      <c r="B213">
        <v>1</v>
      </c>
      <c r="C213">
        <v>1</v>
      </c>
      <c r="D213">
        <v>0</v>
      </c>
      <c r="E213">
        <v>0</v>
      </c>
      <c r="F213">
        <v>1</v>
      </c>
      <c r="G213">
        <v>0</v>
      </c>
      <c r="H213">
        <v>0</v>
      </c>
      <c r="J213">
        <f>(A213*Inputs!$E$2+ABS((A213-1))*(1-Inputs!$E$2))</f>
        <v>0.35</v>
      </c>
      <c r="K213">
        <f>(B213*Inputs!$E$3+ABS((B213-1))*(1-Inputs!$E$3))</f>
        <v>0.65</v>
      </c>
      <c r="L213">
        <f>(C213*Inputs!$E$4+ABS((C213-1))*(1-Inputs!$E$4))</f>
        <v>0.65</v>
      </c>
      <c r="M213">
        <f>(D213*Inputs!$E$5+ABS((D213-1))*(1-Inputs!$E$5))</f>
        <v>0.35</v>
      </c>
      <c r="N213">
        <f>(E213*Inputs!$E$6+ABS((E213-1))*(1-Inputs!$E$6))</f>
        <v>0.4</v>
      </c>
      <c r="O213">
        <f>(F213*Inputs!$E$7+ABS((F213-1))*(1-Inputs!$E$7))</f>
        <v>0.75</v>
      </c>
      <c r="P213">
        <f>(G213*Inputs!$E$8+ABS((G213-1))*(1-Inputs!$E$8))</f>
        <v>0.4</v>
      </c>
      <c r="Q213">
        <f>(H213*Inputs!$E$9+ABS((H213-1))*(1-Inputs!$E$9))</f>
        <v>0.35</v>
      </c>
      <c r="R213">
        <f t="shared" si="27"/>
        <v>2.1737624999999998E-3</v>
      </c>
      <c r="T213">
        <f>Inputs!$I$2*A213*Inputs!$G$2</f>
        <v>0</v>
      </c>
      <c r="U213">
        <f>Inputs!$I$3*B213*Inputs!$G$3</f>
        <v>0.20645773829738062</v>
      </c>
      <c r="V213">
        <f>Inputs!$I$4*C213*Inputs!$G$4</f>
        <v>0.1422264291528948</v>
      </c>
      <c r="W213">
        <f>Inputs!$I$5*D213*Inputs!$G$5</f>
        <v>0</v>
      </c>
      <c r="X213">
        <f>Inputs!$I$6*E213*Inputs!$G$6</f>
        <v>0</v>
      </c>
      <c r="Y213">
        <f>Inputs!$I$7*F213*Inputs!$G$7</f>
        <v>0.19972733373941395</v>
      </c>
      <c r="Z213">
        <f>Inputs!$I$8*G213*Inputs!$G$8</f>
        <v>0</v>
      </c>
      <c r="AA213">
        <f>Inputs!$I$9*H213*Inputs!$G$9</f>
        <v>0</v>
      </c>
      <c r="AB213">
        <f t="shared" si="24"/>
        <v>0.5484115011896894</v>
      </c>
      <c r="AD213">
        <f>Inputs!$I$2*ABS(A213-1)*Inputs!$H$2</f>
        <v>3.0082304526748989E-2</v>
      </c>
      <c r="AE213">
        <f>Inputs!$I$3*ABS(B213-1)*Inputs!$H$3</f>
        <v>0</v>
      </c>
      <c r="AF213">
        <f>Inputs!$I$4*ABS(C213-1)*Inputs!$H$4</f>
        <v>0</v>
      </c>
      <c r="AG213">
        <f>Inputs!$I$5*ABS(D213-1)*Inputs!$H$5</f>
        <v>3.0032539984442563E-2</v>
      </c>
      <c r="AH213">
        <f>Inputs!$I$6*ABS(E213-1)*Inputs!$H$6</f>
        <v>6.4042485034184693E-2</v>
      </c>
      <c r="AI213">
        <f>Inputs!$I$7*ABS(F213-1)*Inputs!$H$7</f>
        <v>0</v>
      </c>
      <c r="AJ213">
        <f>Inputs!$I$8*ABS(G213-1)*Inputs!$H$8</f>
        <v>5.8391635937893226E-2</v>
      </c>
      <c r="AK213">
        <f>Inputs!$I$9*ABS(H213-1)*Inputs!$H$9</f>
        <v>1.3048927592764261E-2</v>
      </c>
      <c r="AL213">
        <f t="shared" si="28"/>
        <v>-0.19559789307603373</v>
      </c>
      <c r="AN213" s="1">
        <f t="shared" si="29"/>
        <v>0.3528136081136557</v>
      </c>
      <c r="AO213">
        <f t="shared" si="25"/>
        <v>7.6693299080716039E-4</v>
      </c>
      <c r="AP213">
        <f t="shared" si="26"/>
        <v>3.1606532414622484E-3</v>
      </c>
      <c r="AQ213" s="26">
        <f t="shared" si="30"/>
        <v>1.0006570976448954</v>
      </c>
      <c r="AR213">
        <f t="shared" si="31"/>
        <v>-4.2518336504769171E-4</v>
      </c>
    </row>
    <row r="214" spans="1:44" x14ac:dyDescent="0.25">
      <c r="A214">
        <v>0</v>
      </c>
      <c r="B214">
        <v>1</v>
      </c>
      <c r="C214">
        <v>0</v>
      </c>
      <c r="D214">
        <v>1</v>
      </c>
      <c r="E214">
        <v>1</v>
      </c>
      <c r="F214">
        <v>1</v>
      </c>
      <c r="G214">
        <v>0</v>
      </c>
      <c r="H214">
        <v>0</v>
      </c>
      <c r="J214">
        <f>(A214*Inputs!$E$2+ABS((A214-1))*(1-Inputs!$E$2))</f>
        <v>0.35</v>
      </c>
      <c r="K214">
        <f>(B214*Inputs!$E$3+ABS((B214-1))*(1-Inputs!$E$3))</f>
        <v>0.65</v>
      </c>
      <c r="L214">
        <f>(C214*Inputs!$E$4+ABS((C214-1))*(1-Inputs!$E$4))</f>
        <v>0.35</v>
      </c>
      <c r="M214">
        <f>(D214*Inputs!$E$5+ABS((D214-1))*(1-Inputs!$E$5))</f>
        <v>0.65</v>
      </c>
      <c r="N214">
        <f>(E214*Inputs!$E$6+ABS((E214-1))*(1-Inputs!$E$6))</f>
        <v>0.6</v>
      </c>
      <c r="O214">
        <f>(F214*Inputs!$E$7+ABS((F214-1))*(1-Inputs!$E$7))</f>
        <v>0.75</v>
      </c>
      <c r="P214">
        <f>(G214*Inputs!$E$8+ABS((G214-1))*(1-Inputs!$E$8))</f>
        <v>0.4</v>
      </c>
      <c r="Q214">
        <f>(H214*Inputs!$E$9+ABS((H214-1))*(1-Inputs!$E$9))</f>
        <v>0.35</v>
      </c>
      <c r="R214">
        <f t="shared" si="27"/>
        <v>3.2606437499999997E-3</v>
      </c>
      <c r="T214">
        <f>Inputs!$I$2*A214*Inputs!$G$2</f>
        <v>0</v>
      </c>
      <c r="U214">
        <f>Inputs!$I$3*B214*Inputs!$G$3</f>
        <v>0.20645773829738062</v>
      </c>
      <c r="V214">
        <f>Inputs!$I$4*C214*Inputs!$G$4</f>
        <v>0</v>
      </c>
      <c r="W214">
        <f>Inputs!$I$5*D214*Inputs!$G$5</f>
        <v>0.20551679322687164</v>
      </c>
      <c r="X214">
        <f>Inputs!$I$6*E214*Inputs!$G$6</f>
        <v>0.37656981200100598</v>
      </c>
      <c r="Y214">
        <f>Inputs!$I$7*F214*Inputs!$G$7</f>
        <v>0.19972733373941395</v>
      </c>
      <c r="Z214">
        <f>Inputs!$I$8*G214*Inputs!$G$8</f>
        <v>0</v>
      </c>
      <c r="AA214">
        <f>Inputs!$I$9*H214*Inputs!$G$9</f>
        <v>0</v>
      </c>
      <c r="AB214">
        <f t="shared" si="24"/>
        <v>0.98827167726467213</v>
      </c>
      <c r="AD214">
        <f>Inputs!$I$2*ABS(A214-1)*Inputs!$H$2</f>
        <v>3.0082304526748989E-2</v>
      </c>
      <c r="AE214">
        <f>Inputs!$I$3*ABS(B214-1)*Inputs!$H$3</f>
        <v>0</v>
      </c>
      <c r="AF214">
        <f>Inputs!$I$4*ABS(C214-1)*Inputs!$H$4</f>
        <v>8.9678988679000853E-3</v>
      </c>
      <c r="AG214">
        <f>Inputs!$I$5*ABS(D214-1)*Inputs!$H$5</f>
        <v>0</v>
      </c>
      <c r="AH214">
        <f>Inputs!$I$6*ABS(E214-1)*Inputs!$H$6</f>
        <v>0</v>
      </c>
      <c r="AI214">
        <f>Inputs!$I$7*ABS(F214-1)*Inputs!$H$7</f>
        <v>0</v>
      </c>
      <c r="AJ214">
        <f>Inputs!$I$8*ABS(G214-1)*Inputs!$H$8</f>
        <v>5.8391635937893226E-2</v>
      </c>
      <c r="AK214">
        <f>Inputs!$I$9*ABS(H214-1)*Inputs!$H$9</f>
        <v>1.3048927592764261E-2</v>
      </c>
      <c r="AL214">
        <f t="shared" si="28"/>
        <v>-0.11049076692530656</v>
      </c>
      <c r="AN214" s="1">
        <f t="shared" si="29"/>
        <v>0.87778091033936556</v>
      </c>
      <c r="AO214">
        <f t="shared" si="25"/>
        <v>2.8621308391673624E-3</v>
      </c>
      <c r="AP214">
        <f t="shared" si="26"/>
        <v>1.5115040346189491E-3</v>
      </c>
      <c r="AQ214" s="26">
        <f t="shared" si="30"/>
        <v>1.0020566132786517</v>
      </c>
      <c r="AR214">
        <f t="shared" si="31"/>
        <v>-3.6027102860770752E-4</v>
      </c>
    </row>
    <row r="215" spans="1:44" x14ac:dyDescent="0.25">
      <c r="A215">
        <v>0</v>
      </c>
      <c r="B215">
        <v>1</v>
      </c>
      <c r="C215">
        <v>0</v>
      </c>
      <c r="D215">
        <v>1</v>
      </c>
      <c r="E215">
        <v>0</v>
      </c>
      <c r="F215">
        <v>1</v>
      </c>
      <c r="G215">
        <v>0</v>
      </c>
      <c r="H215">
        <v>0</v>
      </c>
      <c r="J215">
        <f>(A215*Inputs!$E$2+ABS((A215-1))*(1-Inputs!$E$2))</f>
        <v>0.35</v>
      </c>
      <c r="K215">
        <f>(B215*Inputs!$E$3+ABS((B215-1))*(1-Inputs!$E$3))</f>
        <v>0.65</v>
      </c>
      <c r="L215">
        <f>(C215*Inputs!$E$4+ABS((C215-1))*(1-Inputs!$E$4))</f>
        <v>0.35</v>
      </c>
      <c r="M215">
        <f>(D215*Inputs!$E$5+ABS((D215-1))*(1-Inputs!$E$5))</f>
        <v>0.65</v>
      </c>
      <c r="N215">
        <f>(E215*Inputs!$E$6+ABS((E215-1))*(1-Inputs!$E$6))</f>
        <v>0.4</v>
      </c>
      <c r="O215">
        <f>(F215*Inputs!$E$7+ABS((F215-1))*(1-Inputs!$E$7))</f>
        <v>0.75</v>
      </c>
      <c r="P215">
        <f>(G215*Inputs!$E$8+ABS((G215-1))*(1-Inputs!$E$8))</f>
        <v>0.4</v>
      </c>
      <c r="Q215">
        <f>(H215*Inputs!$E$9+ABS((H215-1))*(1-Inputs!$E$9))</f>
        <v>0.35</v>
      </c>
      <c r="R215">
        <f t="shared" si="27"/>
        <v>2.1737624999999998E-3</v>
      </c>
      <c r="T215">
        <f>Inputs!$I$2*A215*Inputs!$G$2</f>
        <v>0</v>
      </c>
      <c r="U215">
        <f>Inputs!$I$3*B215*Inputs!$G$3</f>
        <v>0.20645773829738062</v>
      </c>
      <c r="V215">
        <f>Inputs!$I$4*C215*Inputs!$G$4</f>
        <v>0</v>
      </c>
      <c r="W215">
        <f>Inputs!$I$5*D215*Inputs!$G$5</f>
        <v>0.20551679322687164</v>
      </c>
      <c r="X215">
        <f>Inputs!$I$6*E215*Inputs!$G$6</f>
        <v>0</v>
      </c>
      <c r="Y215">
        <f>Inputs!$I$7*F215*Inputs!$G$7</f>
        <v>0.19972733373941395</v>
      </c>
      <c r="Z215">
        <f>Inputs!$I$8*G215*Inputs!$G$8</f>
        <v>0</v>
      </c>
      <c r="AA215">
        <f>Inputs!$I$9*H215*Inputs!$G$9</f>
        <v>0</v>
      </c>
      <c r="AB215">
        <f t="shared" si="24"/>
        <v>0.61170186526366621</v>
      </c>
      <c r="AD215">
        <f>Inputs!$I$2*ABS(A215-1)*Inputs!$H$2</f>
        <v>3.0082304526748989E-2</v>
      </c>
      <c r="AE215">
        <f>Inputs!$I$3*ABS(B215-1)*Inputs!$H$3</f>
        <v>0</v>
      </c>
      <c r="AF215">
        <f>Inputs!$I$4*ABS(C215-1)*Inputs!$H$4</f>
        <v>8.9678988679000853E-3</v>
      </c>
      <c r="AG215">
        <f>Inputs!$I$5*ABS(D215-1)*Inputs!$H$5</f>
        <v>0</v>
      </c>
      <c r="AH215">
        <f>Inputs!$I$6*ABS(E215-1)*Inputs!$H$6</f>
        <v>6.4042485034184693E-2</v>
      </c>
      <c r="AI215">
        <f>Inputs!$I$7*ABS(F215-1)*Inputs!$H$7</f>
        <v>0</v>
      </c>
      <c r="AJ215">
        <f>Inputs!$I$8*ABS(G215-1)*Inputs!$H$8</f>
        <v>5.8391635937893226E-2</v>
      </c>
      <c r="AK215">
        <f>Inputs!$I$9*ABS(H215-1)*Inputs!$H$9</f>
        <v>1.3048927592764261E-2</v>
      </c>
      <c r="AL215">
        <f t="shared" si="28"/>
        <v>-0.17453325195949126</v>
      </c>
      <c r="AN215" s="1">
        <f t="shared" si="29"/>
        <v>0.43716861330417495</v>
      </c>
      <c r="AO215">
        <f t="shared" si="25"/>
        <v>9.5030073777761651E-4</v>
      </c>
      <c r="AP215">
        <f t="shared" si="26"/>
        <v>2.7339043405989042E-3</v>
      </c>
      <c r="AQ215" s="26">
        <f t="shared" si="30"/>
        <v>1.0007886800229198</v>
      </c>
      <c r="AR215">
        <f t="shared" si="31"/>
        <v>-3.793938381125936E-4</v>
      </c>
    </row>
    <row r="216" spans="1:44" x14ac:dyDescent="0.25">
      <c r="A216">
        <v>0</v>
      </c>
      <c r="B216">
        <v>1</v>
      </c>
      <c r="C216">
        <v>0</v>
      </c>
      <c r="D216">
        <v>0</v>
      </c>
      <c r="E216">
        <v>1</v>
      </c>
      <c r="F216">
        <v>1</v>
      </c>
      <c r="G216">
        <v>0</v>
      </c>
      <c r="H216">
        <v>0</v>
      </c>
      <c r="J216">
        <f>(A216*Inputs!$E$2+ABS((A216-1))*(1-Inputs!$E$2))</f>
        <v>0.35</v>
      </c>
      <c r="K216">
        <f>(B216*Inputs!$E$3+ABS((B216-1))*(1-Inputs!$E$3))</f>
        <v>0.65</v>
      </c>
      <c r="L216">
        <f>(C216*Inputs!$E$4+ABS((C216-1))*(1-Inputs!$E$4))</f>
        <v>0.35</v>
      </c>
      <c r="M216">
        <f>(D216*Inputs!$E$5+ABS((D216-1))*(1-Inputs!$E$5))</f>
        <v>0.35</v>
      </c>
      <c r="N216">
        <f>(E216*Inputs!$E$6+ABS((E216-1))*(1-Inputs!$E$6))</f>
        <v>0.6</v>
      </c>
      <c r="O216">
        <f>(F216*Inputs!$E$7+ABS((F216-1))*(1-Inputs!$E$7))</f>
        <v>0.75</v>
      </c>
      <c r="P216">
        <f>(G216*Inputs!$E$8+ABS((G216-1))*(1-Inputs!$E$8))</f>
        <v>0.4</v>
      </c>
      <c r="Q216">
        <f>(H216*Inputs!$E$9+ABS((H216-1))*(1-Inputs!$E$9))</f>
        <v>0.35</v>
      </c>
      <c r="R216">
        <f t="shared" si="27"/>
        <v>1.7557312499999998E-3</v>
      </c>
      <c r="T216">
        <f>Inputs!$I$2*A216*Inputs!$G$2</f>
        <v>0</v>
      </c>
      <c r="U216">
        <f>Inputs!$I$3*B216*Inputs!$G$3</f>
        <v>0.20645773829738062</v>
      </c>
      <c r="V216">
        <f>Inputs!$I$4*C216*Inputs!$G$4</f>
        <v>0</v>
      </c>
      <c r="W216">
        <f>Inputs!$I$5*D216*Inputs!$G$5</f>
        <v>0</v>
      </c>
      <c r="X216">
        <f>Inputs!$I$6*E216*Inputs!$G$6</f>
        <v>0.37656981200100598</v>
      </c>
      <c r="Y216">
        <f>Inputs!$I$7*F216*Inputs!$G$7</f>
        <v>0.19972733373941395</v>
      </c>
      <c r="Z216">
        <f>Inputs!$I$8*G216*Inputs!$G$8</f>
        <v>0</v>
      </c>
      <c r="AA216">
        <f>Inputs!$I$9*H216*Inputs!$G$9</f>
        <v>0</v>
      </c>
      <c r="AB216">
        <f t="shared" si="24"/>
        <v>0.78275488403780058</v>
      </c>
      <c r="AD216">
        <f>Inputs!$I$2*ABS(A216-1)*Inputs!$H$2</f>
        <v>3.0082304526748989E-2</v>
      </c>
      <c r="AE216">
        <f>Inputs!$I$3*ABS(B216-1)*Inputs!$H$3</f>
        <v>0</v>
      </c>
      <c r="AF216">
        <f>Inputs!$I$4*ABS(C216-1)*Inputs!$H$4</f>
        <v>8.9678988679000853E-3</v>
      </c>
      <c r="AG216">
        <f>Inputs!$I$5*ABS(D216-1)*Inputs!$H$5</f>
        <v>3.0032539984442563E-2</v>
      </c>
      <c r="AH216">
        <f>Inputs!$I$6*ABS(E216-1)*Inputs!$H$6</f>
        <v>0</v>
      </c>
      <c r="AI216">
        <f>Inputs!$I$7*ABS(F216-1)*Inputs!$H$7</f>
        <v>0</v>
      </c>
      <c r="AJ216">
        <f>Inputs!$I$8*ABS(G216-1)*Inputs!$H$8</f>
        <v>5.8391635937893226E-2</v>
      </c>
      <c r="AK216">
        <f>Inputs!$I$9*ABS(H216-1)*Inputs!$H$9</f>
        <v>1.3048927592764261E-2</v>
      </c>
      <c r="AL216">
        <f t="shared" si="28"/>
        <v>-0.14052330690974912</v>
      </c>
      <c r="AN216" s="1">
        <f t="shared" si="29"/>
        <v>0.64223157712805146</v>
      </c>
      <c r="AO216">
        <f t="shared" si="25"/>
        <v>1.1275860497005051E-3</v>
      </c>
      <c r="AP216">
        <f t="shared" si="26"/>
        <v>1.4744493329880493E-3</v>
      </c>
      <c r="AQ216" s="26">
        <f t="shared" si="30"/>
        <v>1.0008713204611182</v>
      </c>
      <c r="AR216">
        <f t="shared" si="31"/>
        <v>-2.4672116129478746E-4</v>
      </c>
    </row>
    <row r="217" spans="1:44" x14ac:dyDescent="0.25">
      <c r="A217">
        <v>0</v>
      </c>
      <c r="B217">
        <v>1</v>
      </c>
      <c r="C217">
        <v>0</v>
      </c>
      <c r="D217">
        <v>0</v>
      </c>
      <c r="E217">
        <v>0</v>
      </c>
      <c r="F217">
        <v>1</v>
      </c>
      <c r="G217">
        <v>0</v>
      </c>
      <c r="H217">
        <v>0</v>
      </c>
      <c r="J217">
        <f>(A217*Inputs!$E$2+ABS((A217-1))*(1-Inputs!$E$2))</f>
        <v>0.35</v>
      </c>
      <c r="K217">
        <f>(B217*Inputs!$E$3+ABS((B217-1))*(1-Inputs!$E$3))</f>
        <v>0.65</v>
      </c>
      <c r="L217">
        <f>(C217*Inputs!$E$4+ABS((C217-1))*(1-Inputs!$E$4))</f>
        <v>0.35</v>
      </c>
      <c r="M217">
        <f>(D217*Inputs!$E$5+ABS((D217-1))*(1-Inputs!$E$5))</f>
        <v>0.35</v>
      </c>
      <c r="N217">
        <f>(E217*Inputs!$E$6+ABS((E217-1))*(1-Inputs!$E$6))</f>
        <v>0.4</v>
      </c>
      <c r="O217">
        <f>(F217*Inputs!$E$7+ABS((F217-1))*(1-Inputs!$E$7))</f>
        <v>0.75</v>
      </c>
      <c r="P217">
        <f>(G217*Inputs!$E$8+ABS((G217-1))*(1-Inputs!$E$8))</f>
        <v>0.4</v>
      </c>
      <c r="Q217">
        <f>(H217*Inputs!$E$9+ABS((H217-1))*(1-Inputs!$E$9))</f>
        <v>0.35</v>
      </c>
      <c r="R217">
        <f t="shared" si="27"/>
        <v>1.1704874999999997E-3</v>
      </c>
      <c r="T217">
        <f>Inputs!$I$2*A217*Inputs!$G$2</f>
        <v>0</v>
      </c>
      <c r="U217">
        <f>Inputs!$I$3*B217*Inputs!$G$3</f>
        <v>0.20645773829738062</v>
      </c>
      <c r="V217">
        <f>Inputs!$I$4*C217*Inputs!$G$4</f>
        <v>0</v>
      </c>
      <c r="W217">
        <f>Inputs!$I$5*D217*Inputs!$G$5</f>
        <v>0</v>
      </c>
      <c r="X217">
        <f>Inputs!$I$6*E217*Inputs!$G$6</f>
        <v>0</v>
      </c>
      <c r="Y217">
        <f>Inputs!$I$7*F217*Inputs!$G$7</f>
        <v>0.19972733373941395</v>
      </c>
      <c r="Z217">
        <f>Inputs!$I$8*G217*Inputs!$G$8</f>
        <v>0</v>
      </c>
      <c r="AA217">
        <f>Inputs!$I$9*H217*Inputs!$G$9</f>
        <v>0</v>
      </c>
      <c r="AB217">
        <f t="shared" si="24"/>
        <v>0.40618507203679455</v>
      </c>
      <c r="AD217">
        <f>Inputs!$I$2*ABS(A217-1)*Inputs!$H$2</f>
        <v>3.0082304526748989E-2</v>
      </c>
      <c r="AE217">
        <f>Inputs!$I$3*ABS(B217-1)*Inputs!$H$3</f>
        <v>0</v>
      </c>
      <c r="AF217">
        <f>Inputs!$I$4*ABS(C217-1)*Inputs!$H$4</f>
        <v>8.9678988679000853E-3</v>
      </c>
      <c r="AG217">
        <f>Inputs!$I$5*ABS(D217-1)*Inputs!$H$5</f>
        <v>3.0032539984442563E-2</v>
      </c>
      <c r="AH217">
        <f>Inputs!$I$6*ABS(E217-1)*Inputs!$H$6</f>
        <v>6.4042485034184693E-2</v>
      </c>
      <c r="AI217">
        <f>Inputs!$I$7*ABS(F217-1)*Inputs!$H$7</f>
        <v>0</v>
      </c>
      <c r="AJ217">
        <f>Inputs!$I$8*ABS(G217-1)*Inputs!$H$8</f>
        <v>5.8391635937893226E-2</v>
      </c>
      <c r="AK217">
        <f>Inputs!$I$9*ABS(H217-1)*Inputs!$H$9</f>
        <v>1.3048927592764261E-2</v>
      </c>
      <c r="AL217">
        <f t="shared" si="28"/>
        <v>-0.20456579194393384</v>
      </c>
      <c r="AN217" s="1">
        <f t="shared" si="29"/>
        <v>0.2016192800928607</v>
      </c>
      <c r="AO217">
        <f t="shared" si="25"/>
        <v>2.3599284710769223E-4</v>
      </c>
      <c r="AP217">
        <f t="shared" si="26"/>
        <v>2.1554376412925014E-3</v>
      </c>
      <c r="AQ217" s="26">
        <f t="shared" si="30"/>
        <v>1.0002150066050373</v>
      </c>
      <c r="AR217">
        <f t="shared" si="31"/>
        <v>-2.3944170239797522E-4</v>
      </c>
    </row>
    <row r="218" spans="1:44" x14ac:dyDescent="0.25">
      <c r="A218">
        <v>0</v>
      </c>
      <c r="B218">
        <v>0</v>
      </c>
      <c r="C218">
        <v>1</v>
      </c>
      <c r="D218">
        <v>1</v>
      </c>
      <c r="E218">
        <v>1</v>
      </c>
      <c r="F218">
        <v>1</v>
      </c>
      <c r="G218">
        <v>0</v>
      </c>
      <c r="H218">
        <v>0</v>
      </c>
      <c r="J218">
        <f>(A218*Inputs!$E$2+ABS((A218-1))*(1-Inputs!$E$2))</f>
        <v>0.35</v>
      </c>
      <c r="K218">
        <f>(B218*Inputs!$E$3+ABS((B218-1))*(1-Inputs!$E$3))</f>
        <v>0.35</v>
      </c>
      <c r="L218">
        <f>(C218*Inputs!$E$4+ABS((C218-1))*(1-Inputs!$E$4))</f>
        <v>0.65</v>
      </c>
      <c r="M218">
        <f>(D218*Inputs!$E$5+ABS((D218-1))*(1-Inputs!$E$5))</f>
        <v>0.65</v>
      </c>
      <c r="N218">
        <f>(E218*Inputs!$E$6+ABS((E218-1))*(1-Inputs!$E$6))</f>
        <v>0.6</v>
      </c>
      <c r="O218">
        <f>(F218*Inputs!$E$7+ABS((F218-1))*(1-Inputs!$E$7))</f>
        <v>0.75</v>
      </c>
      <c r="P218">
        <f>(G218*Inputs!$E$8+ABS((G218-1))*(1-Inputs!$E$8))</f>
        <v>0.4</v>
      </c>
      <c r="Q218">
        <f>(H218*Inputs!$E$9+ABS((H218-1))*(1-Inputs!$E$9))</f>
        <v>0.35</v>
      </c>
      <c r="R218">
        <f t="shared" si="27"/>
        <v>3.2606437499999997E-3</v>
      </c>
      <c r="T218">
        <f>Inputs!$I$2*A218*Inputs!$G$2</f>
        <v>0</v>
      </c>
      <c r="U218">
        <f>Inputs!$I$3*B218*Inputs!$G$3</f>
        <v>0</v>
      </c>
      <c r="V218">
        <f>Inputs!$I$4*C218*Inputs!$G$4</f>
        <v>0.1422264291528948</v>
      </c>
      <c r="W218">
        <f>Inputs!$I$5*D218*Inputs!$G$5</f>
        <v>0.20551679322687164</v>
      </c>
      <c r="X218">
        <f>Inputs!$I$6*E218*Inputs!$G$6</f>
        <v>0.37656981200100598</v>
      </c>
      <c r="Y218">
        <f>Inputs!$I$7*F218*Inputs!$G$7</f>
        <v>0.19972733373941395</v>
      </c>
      <c r="Z218">
        <f>Inputs!$I$8*G218*Inputs!$G$8</f>
        <v>0</v>
      </c>
      <c r="AA218">
        <f>Inputs!$I$9*H218*Inputs!$G$9</f>
        <v>0</v>
      </c>
      <c r="AB218">
        <f t="shared" si="24"/>
        <v>0.92404036812018642</v>
      </c>
      <c r="AD218">
        <f>Inputs!$I$2*ABS(A218-1)*Inputs!$H$2</f>
        <v>3.0082304526748989E-2</v>
      </c>
      <c r="AE218">
        <f>Inputs!$I$3*ABS(B218-1)*Inputs!$H$3</f>
        <v>1.1405796839520112E-2</v>
      </c>
      <c r="AF218">
        <f>Inputs!$I$4*ABS(C218-1)*Inputs!$H$4</f>
        <v>0</v>
      </c>
      <c r="AG218">
        <f>Inputs!$I$5*ABS(D218-1)*Inputs!$H$5</f>
        <v>0</v>
      </c>
      <c r="AH218">
        <f>Inputs!$I$6*ABS(E218-1)*Inputs!$H$6</f>
        <v>0</v>
      </c>
      <c r="AI218">
        <f>Inputs!$I$7*ABS(F218-1)*Inputs!$H$7</f>
        <v>0</v>
      </c>
      <c r="AJ218">
        <f>Inputs!$I$8*ABS(G218-1)*Inputs!$H$8</f>
        <v>5.8391635937893226E-2</v>
      </c>
      <c r="AK218">
        <f>Inputs!$I$9*ABS(H218-1)*Inputs!$H$9</f>
        <v>1.3048927592764261E-2</v>
      </c>
      <c r="AL218">
        <f t="shared" si="28"/>
        <v>-0.11292866489692659</v>
      </c>
      <c r="AN218" s="1">
        <f t="shared" si="29"/>
        <v>0.81111170322325987</v>
      </c>
      <c r="AO218">
        <f t="shared" si="25"/>
        <v>2.6447463056667769E-3</v>
      </c>
      <c r="AP218">
        <f t="shared" si="26"/>
        <v>1.8220104565757828E-3</v>
      </c>
      <c r="AQ218" s="26">
        <f t="shared" si="30"/>
        <v>1.0019385060227306</v>
      </c>
      <c r="AR218">
        <f t="shared" si="31"/>
        <v>-3.6822014539200805E-4</v>
      </c>
    </row>
    <row r="219" spans="1:44" x14ac:dyDescent="0.25">
      <c r="A219">
        <v>0</v>
      </c>
      <c r="B219">
        <v>0</v>
      </c>
      <c r="C219">
        <v>1</v>
      </c>
      <c r="D219">
        <v>1</v>
      </c>
      <c r="E219">
        <v>0</v>
      </c>
      <c r="F219">
        <v>1</v>
      </c>
      <c r="G219">
        <v>0</v>
      </c>
      <c r="H219">
        <v>0</v>
      </c>
      <c r="J219">
        <f>(A219*Inputs!$E$2+ABS((A219-1))*(1-Inputs!$E$2))</f>
        <v>0.35</v>
      </c>
      <c r="K219">
        <f>(B219*Inputs!$E$3+ABS((B219-1))*(1-Inputs!$E$3))</f>
        <v>0.35</v>
      </c>
      <c r="L219">
        <f>(C219*Inputs!$E$4+ABS((C219-1))*(1-Inputs!$E$4))</f>
        <v>0.65</v>
      </c>
      <c r="M219">
        <f>(D219*Inputs!$E$5+ABS((D219-1))*(1-Inputs!$E$5))</f>
        <v>0.65</v>
      </c>
      <c r="N219">
        <f>(E219*Inputs!$E$6+ABS((E219-1))*(1-Inputs!$E$6))</f>
        <v>0.4</v>
      </c>
      <c r="O219">
        <f>(F219*Inputs!$E$7+ABS((F219-1))*(1-Inputs!$E$7))</f>
        <v>0.75</v>
      </c>
      <c r="P219">
        <f>(G219*Inputs!$E$8+ABS((G219-1))*(1-Inputs!$E$8))</f>
        <v>0.4</v>
      </c>
      <c r="Q219">
        <f>(H219*Inputs!$E$9+ABS((H219-1))*(1-Inputs!$E$9))</f>
        <v>0.35</v>
      </c>
      <c r="R219">
        <f t="shared" si="27"/>
        <v>2.1737624999999998E-3</v>
      </c>
      <c r="T219">
        <f>Inputs!$I$2*A219*Inputs!$G$2</f>
        <v>0</v>
      </c>
      <c r="U219">
        <f>Inputs!$I$3*B219*Inputs!$G$3</f>
        <v>0</v>
      </c>
      <c r="V219">
        <f>Inputs!$I$4*C219*Inputs!$G$4</f>
        <v>0.1422264291528948</v>
      </c>
      <c r="W219">
        <f>Inputs!$I$5*D219*Inputs!$G$5</f>
        <v>0.20551679322687164</v>
      </c>
      <c r="X219">
        <f>Inputs!$I$6*E219*Inputs!$G$6</f>
        <v>0</v>
      </c>
      <c r="Y219">
        <f>Inputs!$I$7*F219*Inputs!$G$7</f>
        <v>0.19972733373941395</v>
      </c>
      <c r="Z219">
        <f>Inputs!$I$8*G219*Inputs!$G$8</f>
        <v>0</v>
      </c>
      <c r="AA219">
        <f>Inputs!$I$9*H219*Inputs!$G$9</f>
        <v>0</v>
      </c>
      <c r="AB219">
        <f t="shared" si="24"/>
        <v>0.54747055611918038</v>
      </c>
      <c r="AD219">
        <f>Inputs!$I$2*ABS(A219-1)*Inputs!$H$2</f>
        <v>3.0082304526748989E-2</v>
      </c>
      <c r="AE219">
        <f>Inputs!$I$3*ABS(B219-1)*Inputs!$H$3</f>
        <v>1.1405796839520112E-2</v>
      </c>
      <c r="AF219">
        <f>Inputs!$I$4*ABS(C219-1)*Inputs!$H$4</f>
        <v>0</v>
      </c>
      <c r="AG219">
        <f>Inputs!$I$5*ABS(D219-1)*Inputs!$H$5</f>
        <v>0</v>
      </c>
      <c r="AH219">
        <f>Inputs!$I$6*ABS(E219-1)*Inputs!$H$6</f>
        <v>6.4042485034184693E-2</v>
      </c>
      <c r="AI219">
        <f>Inputs!$I$7*ABS(F219-1)*Inputs!$H$7</f>
        <v>0</v>
      </c>
      <c r="AJ219">
        <f>Inputs!$I$8*ABS(G219-1)*Inputs!$H$8</f>
        <v>5.8391635937893226E-2</v>
      </c>
      <c r="AK219">
        <f>Inputs!$I$9*ABS(H219-1)*Inputs!$H$9</f>
        <v>1.3048927592764261E-2</v>
      </c>
      <c r="AL219">
        <f t="shared" si="28"/>
        <v>-0.17697114993111129</v>
      </c>
      <c r="AN219" s="1">
        <f t="shared" si="29"/>
        <v>0.37049940618806909</v>
      </c>
      <c r="AO219">
        <f t="shared" si="25"/>
        <v>8.0537771544389252E-4</v>
      </c>
      <c r="AP219">
        <f t="shared" si="26"/>
        <v>3.0686183534309498E-3</v>
      </c>
      <c r="AQ219" s="26">
        <f t="shared" si="30"/>
        <v>1.0006853507838525</v>
      </c>
      <c r="AR219">
        <f t="shared" si="31"/>
        <v>-3.8469324930212731E-4</v>
      </c>
    </row>
    <row r="220" spans="1:44" x14ac:dyDescent="0.25">
      <c r="A220">
        <v>0</v>
      </c>
      <c r="B220">
        <v>0</v>
      </c>
      <c r="C220">
        <v>1</v>
      </c>
      <c r="D220">
        <v>0</v>
      </c>
      <c r="E220">
        <v>1</v>
      </c>
      <c r="F220">
        <v>1</v>
      </c>
      <c r="G220">
        <v>0</v>
      </c>
      <c r="H220">
        <v>0</v>
      </c>
      <c r="J220">
        <f>(A220*Inputs!$E$2+ABS((A220-1))*(1-Inputs!$E$2))</f>
        <v>0.35</v>
      </c>
      <c r="K220">
        <f>(B220*Inputs!$E$3+ABS((B220-1))*(1-Inputs!$E$3))</f>
        <v>0.35</v>
      </c>
      <c r="L220">
        <f>(C220*Inputs!$E$4+ABS((C220-1))*(1-Inputs!$E$4))</f>
        <v>0.65</v>
      </c>
      <c r="M220">
        <f>(D220*Inputs!$E$5+ABS((D220-1))*(1-Inputs!$E$5))</f>
        <v>0.35</v>
      </c>
      <c r="N220">
        <f>(E220*Inputs!$E$6+ABS((E220-1))*(1-Inputs!$E$6))</f>
        <v>0.6</v>
      </c>
      <c r="O220">
        <f>(F220*Inputs!$E$7+ABS((F220-1))*(1-Inputs!$E$7))</f>
        <v>0.75</v>
      </c>
      <c r="P220">
        <f>(G220*Inputs!$E$8+ABS((G220-1))*(1-Inputs!$E$8))</f>
        <v>0.4</v>
      </c>
      <c r="Q220">
        <f>(H220*Inputs!$E$9+ABS((H220-1))*(1-Inputs!$E$9))</f>
        <v>0.35</v>
      </c>
      <c r="R220">
        <f t="shared" si="27"/>
        <v>1.7557312499999998E-3</v>
      </c>
      <c r="T220">
        <f>Inputs!$I$2*A220*Inputs!$G$2</f>
        <v>0</v>
      </c>
      <c r="U220">
        <f>Inputs!$I$3*B220*Inputs!$G$3</f>
        <v>0</v>
      </c>
      <c r="V220">
        <f>Inputs!$I$4*C220*Inputs!$G$4</f>
        <v>0.1422264291528948</v>
      </c>
      <c r="W220">
        <f>Inputs!$I$5*D220*Inputs!$G$5</f>
        <v>0</v>
      </c>
      <c r="X220">
        <f>Inputs!$I$6*E220*Inputs!$G$6</f>
        <v>0.37656981200100598</v>
      </c>
      <c r="Y220">
        <f>Inputs!$I$7*F220*Inputs!$G$7</f>
        <v>0.19972733373941395</v>
      </c>
      <c r="Z220">
        <f>Inputs!$I$8*G220*Inputs!$G$8</f>
        <v>0</v>
      </c>
      <c r="AA220">
        <f>Inputs!$I$9*H220*Inputs!$G$9</f>
        <v>0</v>
      </c>
      <c r="AB220">
        <f t="shared" si="24"/>
        <v>0.71852357489331475</v>
      </c>
      <c r="AD220">
        <f>Inputs!$I$2*ABS(A220-1)*Inputs!$H$2</f>
        <v>3.0082304526748989E-2</v>
      </c>
      <c r="AE220">
        <f>Inputs!$I$3*ABS(B220-1)*Inputs!$H$3</f>
        <v>1.1405796839520112E-2</v>
      </c>
      <c r="AF220">
        <f>Inputs!$I$4*ABS(C220-1)*Inputs!$H$4</f>
        <v>0</v>
      </c>
      <c r="AG220">
        <f>Inputs!$I$5*ABS(D220-1)*Inputs!$H$5</f>
        <v>3.0032539984442563E-2</v>
      </c>
      <c r="AH220">
        <f>Inputs!$I$6*ABS(E220-1)*Inputs!$H$6</f>
        <v>0</v>
      </c>
      <c r="AI220">
        <f>Inputs!$I$7*ABS(F220-1)*Inputs!$H$7</f>
        <v>0</v>
      </c>
      <c r="AJ220">
        <f>Inputs!$I$8*ABS(G220-1)*Inputs!$H$8</f>
        <v>5.8391635937893226E-2</v>
      </c>
      <c r="AK220">
        <f>Inputs!$I$9*ABS(H220-1)*Inputs!$H$9</f>
        <v>1.3048927592764261E-2</v>
      </c>
      <c r="AL220">
        <f t="shared" si="28"/>
        <v>-0.14296120488136915</v>
      </c>
      <c r="AN220" s="1">
        <f t="shared" si="29"/>
        <v>0.57556237001194566</v>
      </c>
      <c r="AO220">
        <f t="shared" si="25"/>
        <v>1.0105328393540357E-3</v>
      </c>
      <c r="AP220">
        <f t="shared" si="26"/>
        <v>1.6967887099518233E-3</v>
      </c>
      <c r="AQ220" s="26">
        <f t="shared" si="30"/>
        <v>1.0007984955950953</v>
      </c>
      <c r="AR220">
        <f t="shared" si="31"/>
        <v>-2.5100145494787233E-4</v>
      </c>
    </row>
    <row r="221" spans="1:44" x14ac:dyDescent="0.25">
      <c r="A221">
        <v>0</v>
      </c>
      <c r="B221">
        <v>0</v>
      </c>
      <c r="C221">
        <v>1</v>
      </c>
      <c r="D221">
        <v>0</v>
      </c>
      <c r="E221">
        <v>0</v>
      </c>
      <c r="F221">
        <v>1</v>
      </c>
      <c r="G221">
        <v>0</v>
      </c>
      <c r="H221">
        <v>0</v>
      </c>
      <c r="J221">
        <f>(A221*Inputs!$E$2+ABS((A221-1))*(1-Inputs!$E$2))</f>
        <v>0.35</v>
      </c>
      <c r="K221">
        <f>(B221*Inputs!$E$3+ABS((B221-1))*(1-Inputs!$E$3))</f>
        <v>0.35</v>
      </c>
      <c r="L221">
        <f>(C221*Inputs!$E$4+ABS((C221-1))*(1-Inputs!$E$4))</f>
        <v>0.65</v>
      </c>
      <c r="M221">
        <f>(D221*Inputs!$E$5+ABS((D221-1))*(1-Inputs!$E$5))</f>
        <v>0.35</v>
      </c>
      <c r="N221">
        <f>(E221*Inputs!$E$6+ABS((E221-1))*(1-Inputs!$E$6))</f>
        <v>0.4</v>
      </c>
      <c r="O221">
        <f>(F221*Inputs!$E$7+ABS((F221-1))*(1-Inputs!$E$7))</f>
        <v>0.75</v>
      </c>
      <c r="P221">
        <f>(G221*Inputs!$E$8+ABS((G221-1))*(1-Inputs!$E$8))</f>
        <v>0.4</v>
      </c>
      <c r="Q221">
        <f>(H221*Inputs!$E$9+ABS((H221-1))*(1-Inputs!$E$9))</f>
        <v>0.35</v>
      </c>
      <c r="R221">
        <f t="shared" si="27"/>
        <v>1.1704874999999997E-3</v>
      </c>
      <c r="T221">
        <f>Inputs!$I$2*A221*Inputs!$G$2</f>
        <v>0</v>
      </c>
      <c r="U221">
        <f>Inputs!$I$3*B221*Inputs!$G$3</f>
        <v>0</v>
      </c>
      <c r="V221">
        <f>Inputs!$I$4*C221*Inputs!$G$4</f>
        <v>0.1422264291528948</v>
      </c>
      <c r="W221">
        <f>Inputs!$I$5*D221*Inputs!$G$5</f>
        <v>0</v>
      </c>
      <c r="X221">
        <f>Inputs!$I$6*E221*Inputs!$G$6</f>
        <v>0</v>
      </c>
      <c r="Y221">
        <f>Inputs!$I$7*F221*Inputs!$G$7</f>
        <v>0.19972733373941395</v>
      </c>
      <c r="Z221">
        <f>Inputs!$I$8*G221*Inputs!$G$8</f>
        <v>0</v>
      </c>
      <c r="AA221">
        <f>Inputs!$I$9*H221*Inputs!$G$9</f>
        <v>0</v>
      </c>
      <c r="AB221">
        <f t="shared" si="24"/>
        <v>0.34195376289230872</v>
      </c>
      <c r="AD221">
        <f>Inputs!$I$2*ABS(A221-1)*Inputs!$H$2</f>
        <v>3.0082304526748989E-2</v>
      </c>
      <c r="AE221">
        <f>Inputs!$I$3*ABS(B221-1)*Inputs!$H$3</f>
        <v>1.1405796839520112E-2</v>
      </c>
      <c r="AF221">
        <f>Inputs!$I$4*ABS(C221-1)*Inputs!$H$4</f>
        <v>0</v>
      </c>
      <c r="AG221">
        <f>Inputs!$I$5*ABS(D221-1)*Inputs!$H$5</f>
        <v>3.0032539984442563E-2</v>
      </c>
      <c r="AH221">
        <f>Inputs!$I$6*ABS(E221-1)*Inputs!$H$6</f>
        <v>6.4042485034184693E-2</v>
      </c>
      <c r="AI221">
        <f>Inputs!$I$7*ABS(F221-1)*Inputs!$H$7</f>
        <v>0</v>
      </c>
      <c r="AJ221">
        <f>Inputs!$I$8*ABS(G221-1)*Inputs!$H$8</f>
        <v>5.8391635937893226E-2</v>
      </c>
      <c r="AK221">
        <f>Inputs!$I$9*ABS(H221-1)*Inputs!$H$9</f>
        <v>1.3048927592764261E-2</v>
      </c>
      <c r="AL221">
        <f t="shared" si="28"/>
        <v>-0.20700368991555387</v>
      </c>
      <c r="AN221" s="1">
        <f t="shared" si="29"/>
        <v>0.13495007297675485</v>
      </c>
      <c r="AO221">
        <f t="shared" si="25"/>
        <v>1.579573735433793E-4</v>
      </c>
      <c r="AP221">
        <f t="shared" si="26"/>
        <v>2.3724306711164858E-3</v>
      </c>
      <c r="AQ221" s="26">
        <f t="shared" si="30"/>
        <v>1.0001481814235922</v>
      </c>
      <c r="AR221">
        <f t="shared" si="31"/>
        <v>-2.422952315000318E-4</v>
      </c>
    </row>
    <row r="222" spans="1:44" x14ac:dyDescent="0.25">
      <c r="A222">
        <v>0</v>
      </c>
      <c r="B222">
        <v>0</v>
      </c>
      <c r="C222">
        <v>0</v>
      </c>
      <c r="D222">
        <v>1</v>
      </c>
      <c r="E222">
        <v>1</v>
      </c>
      <c r="F222">
        <v>1</v>
      </c>
      <c r="G222">
        <v>0</v>
      </c>
      <c r="H222">
        <v>0</v>
      </c>
      <c r="J222">
        <f>(A222*Inputs!$E$2+ABS((A222-1))*(1-Inputs!$E$2))</f>
        <v>0.35</v>
      </c>
      <c r="K222">
        <f>(B222*Inputs!$E$3+ABS((B222-1))*(1-Inputs!$E$3))</f>
        <v>0.35</v>
      </c>
      <c r="L222">
        <f>(C222*Inputs!$E$4+ABS((C222-1))*(1-Inputs!$E$4))</f>
        <v>0.35</v>
      </c>
      <c r="M222">
        <f>(D222*Inputs!$E$5+ABS((D222-1))*(1-Inputs!$E$5))</f>
        <v>0.65</v>
      </c>
      <c r="N222">
        <f>(E222*Inputs!$E$6+ABS((E222-1))*(1-Inputs!$E$6))</f>
        <v>0.6</v>
      </c>
      <c r="O222">
        <f>(F222*Inputs!$E$7+ABS((F222-1))*(1-Inputs!$E$7))</f>
        <v>0.75</v>
      </c>
      <c r="P222">
        <f>(G222*Inputs!$E$8+ABS((G222-1))*(1-Inputs!$E$8))</f>
        <v>0.4</v>
      </c>
      <c r="Q222">
        <f>(H222*Inputs!$E$9+ABS((H222-1))*(1-Inputs!$E$9))</f>
        <v>0.35</v>
      </c>
      <c r="R222">
        <f t="shared" si="27"/>
        <v>1.7557312499999998E-3</v>
      </c>
      <c r="T222">
        <f>Inputs!$I$2*A222*Inputs!$G$2</f>
        <v>0</v>
      </c>
      <c r="U222">
        <f>Inputs!$I$3*B222*Inputs!$G$3</f>
        <v>0</v>
      </c>
      <c r="V222">
        <f>Inputs!$I$4*C222*Inputs!$G$4</f>
        <v>0</v>
      </c>
      <c r="W222">
        <f>Inputs!$I$5*D222*Inputs!$G$5</f>
        <v>0.20551679322687164</v>
      </c>
      <c r="X222">
        <f>Inputs!$I$6*E222*Inputs!$G$6</f>
        <v>0.37656981200100598</v>
      </c>
      <c r="Y222">
        <f>Inputs!$I$7*F222*Inputs!$G$7</f>
        <v>0.19972733373941395</v>
      </c>
      <c r="Z222">
        <f>Inputs!$I$8*G222*Inputs!$G$8</f>
        <v>0</v>
      </c>
      <c r="AA222">
        <f>Inputs!$I$9*H222*Inputs!$G$9</f>
        <v>0</v>
      </c>
      <c r="AB222">
        <f t="shared" si="24"/>
        <v>0.78181393896729157</v>
      </c>
      <c r="AD222">
        <f>Inputs!$I$2*ABS(A222-1)*Inputs!$H$2</f>
        <v>3.0082304526748989E-2</v>
      </c>
      <c r="AE222">
        <f>Inputs!$I$3*ABS(B222-1)*Inputs!$H$3</f>
        <v>1.1405796839520112E-2</v>
      </c>
      <c r="AF222">
        <f>Inputs!$I$4*ABS(C222-1)*Inputs!$H$4</f>
        <v>8.9678988679000853E-3</v>
      </c>
      <c r="AG222">
        <f>Inputs!$I$5*ABS(D222-1)*Inputs!$H$5</f>
        <v>0</v>
      </c>
      <c r="AH222">
        <f>Inputs!$I$6*ABS(E222-1)*Inputs!$H$6</f>
        <v>0</v>
      </c>
      <c r="AI222">
        <f>Inputs!$I$7*ABS(F222-1)*Inputs!$H$7</f>
        <v>0</v>
      </c>
      <c r="AJ222">
        <f>Inputs!$I$8*ABS(G222-1)*Inputs!$H$8</f>
        <v>5.8391635937893226E-2</v>
      </c>
      <c r="AK222">
        <f>Inputs!$I$9*ABS(H222-1)*Inputs!$H$9</f>
        <v>1.3048927592764261E-2</v>
      </c>
      <c r="AL222">
        <f t="shared" si="28"/>
        <v>-0.12189656376482667</v>
      </c>
      <c r="AN222" s="1">
        <f t="shared" si="29"/>
        <v>0.65991737520246485</v>
      </c>
      <c r="AO222">
        <f t="shared" si="25"/>
        <v>1.1586375580609424E-3</v>
      </c>
      <c r="AP222">
        <f t="shared" si="26"/>
        <v>1.4180871908548696E-3</v>
      </c>
      <c r="AQ222" s="26">
        <f t="shared" si="30"/>
        <v>1.0008901440539024</v>
      </c>
      <c r="AR222">
        <f t="shared" si="31"/>
        <v>-2.1401760626952381E-4</v>
      </c>
    </row>
    <row r="223" spans="1:44" x14ac:dyDescent="0.25">
      <c r="A223">
        <v>0</v>
      </c>
      <c r="B223">
        <v>0</v>
      </c>
      <c r="C223">
        <v>0</v>
      </c>
      <c r="D223">
        <v>1</v>
      </c>
      <c r="E223">
        <v>0</v>
      </c>
      <c r="F223">
        <v>1</v>
      </c>
      <c r="G223">
        <v>0</v>
      </c>
      <c r="H223">
        <v>0</v>
      </c>
      <c r="J223">
        <f>(A223*Inputs!$E$2+ABS((A223-1))*(1-Inputs!$E$2))</f>
        <v>0.35</v>
      </c>
      <c r="K223">
        <f>(B223*Inputs!$E$3+ABS((B223-1))*(1-Inputs!$E$3))</f>
        <v>0.35</v>
      </c>
      <c r="L223">
        <f>(C223*Inputs!$E$4+ABS((C223-1))*(1-Inputs!$E$4))</f>
        <v>0.35</v>
      </c>
      <c r="M223">
        <f>(D223*Inputs!$E$5+ABS((D223-1))*(1-Inputs!$E$5))</f>
        <v>0.65</v>
      </c>
      <c r="N223">
        <f>(E223*Inputs!$E$6+ABS((E223-1))*(1-Inputs!$E$6))</f>
        <v>0.4</v>
      </c>
      <c r="O223">
        <f>(F223*Inputs!$E$7+ABS((F223-1))*(1-Inputs!$E$7))</f>
        <v>0.75</v>
      </c>
      <c r="P223">
        <f>(G223*Inputs!$E$8+ABS((G223-1))*(1-Inputs!$E$8))</f>
        <v>0.4</v>
      </c>
      <c r="Q223">
        <f>(H223*Inputs!$E$9+ABS((H223-1))*(1-Inputs!$E$9))</f>
        <v>0.35</v>
      </c>
      <c r="R223">
        <f t="shared" si="27"/>
        <v>1.1704874999999997E-3</v>
      </c>
      <c r="T223">
        <f>Inputs!$I$2*A223*Inputs!$G$2</f>
        <v>0</v>
      </c>
      <c r="U223">
        <f>Inputs!$I$3*B223*Inputs!$G$3</f>
        <v>0</v>
      </c>
      <c r="V223">
        <f>Inputs!$I$4*C223*Inputs!$G$4</f>
        <v>0</v>
      </c>
      <c r="W223">
        <f>Inputs!$I$5*D223*Inputs!$G$5</f>
        <v>0.20551679322687164</v>
      </c>
      <c r="X223">
        <f>Inputs!$I$6*E223*Inputs!$G$6</f>
        <v>0</v>
      </c>
      <c r="Y223">
        <f>Inputs!$I$7*F223*Inputs!$G$7</f>
        <v>0.19972733373941395</v>
      </c>
      <c r="Z223">
        <f>Inputs!$I$8*G223*Inputs!$G$8</f>
        <v>0</v>
      </c>
      <c r="AA223">
        <f>Inputs!$I$9*H223*Inputs!$G$9</f>
        <v>0</v>
      </c>
      <c r="AB223">
        <f t="shared" si="24"/>
        <v>0.40524412696628559</v>
      </c>
      <c r="AD223">
        <f>Inputs!$I$2*ABS(A223-1)*Inputs!$H$2</f>
        <v>3.0082304526748989E-2</v>
      </c>
      <c r="AE223">
        <f>Inputs!$I$3*ABS(B223-1)*Inputs!$H$3</f>
        <v>1.1405796839520112E-2</v>
      </c>
      <c r="AF223">
        <f>Inputs!$I$4*ABS(C223-1)*Inputs!$H$4</f>
        <v>8.9678988679000853E-3</v>
      </c>
      <c r="AG223">
        <f>Inputs!$I$5*ABS(D223-1)*Inputs!$H$5</f>
        <v>0</v>
      </c>
      <c r="AH223">
        <f>Inputs!$I$6*ABS(E223-1)*Inputs!$H$6</f>
        <v>6.4042485034184693E-2</v>
      </c>
      <c r="AI223">
        <f>Inputs!$I$7*ABS(F223-1)*Inputs!$H$7</f>
        <v>0</v>
      </c>
      <c r="AJ223">
        <f>Inputs!$I$8*ABS(G223-1)*Inputs!$H$8</f>
        <v>5.8391635937893226E-2</v>
      </c>
      <c r="AK223">
        <f>Inputs!$I$9*ABS(H223-1)*Inputs!$H$9</f>
        <v>1.3048927592764261E-2</v>
      </c>
      <c r="AL223">
        <f t="shared" si="28"/>
        <v>-0.18593904879901138</v>
      </c>
      <c r="AN223" s="1">
        <f t="shared" si="29"/>
        <v>0.21930507816727421</v>
      </c>
      <c r="AO223">
        <f t="shared" si="25"/>
        <v>2.5669385268131732E-4</v>
      </c>
      <c r="AP223">
        <f t="shared" si="26"/>
        <v>2.0996206446369146E-3</v>
      </c>
      <c r="AQ223" s="26">
        <f t="shared" si="30"/>
        <v>1.0002321124693869</v>
      </c>
      <c r="AR223">
        <f t="shared" si="31"/>
        <v>-2.1763933238113278E-4</v>
      </c>
    </row>
    <row r="224" spans="1:44" x14ac:dyDescent="0.25">
      <c r="A224">
        <v>0</v>
      </c>
      <c r="B224">
        <v>0</v>
      </c>
      <c r="C224">
        <v>0</v>
      </c>
      <c r="D224">
        <v>0</v>
      </c>
      <c r="E224">
        <v>1</v>
      </c>
      <c r="F224">
        <v>1</v>
      </c>
      <c r="G224">
        <v>0</v>
      </c>
      <c r="H224">
        <v>0</v>
      </c>
      <c r="J224">
        <f>(A224*Inputs!$E$2+ABS((A224-1))*(1-Inputs!$E$2))</f>
        <v>0.35</v>
      </c>
      <c r="K224">
        <f>(B224*Inputs!$E$3+ABS((B224-1))*(1-Inputs!$E$3))</f>
        <v>0.35</v>
      </c>
      <c r="L224">
        <f>(C224*Inputs!$E$4+ABS((C224-1))*(1-Inputs!$E$4))</f>
        <v>0.35</v>
      </c>
      <c r="M224">
        <f>(D224*Inputs!$E$5+ABS((D224-1))*(1-Inputs!$E$5))</f>
        <v>0.35</v>
      </c>
      <c r="N224">
        <f>(E224*Inputs!$E$6+ABS((E224-1))*(1-Inputs!$E$6))</f>
        <v>0.6</v>
      </c>
      <c r="O224">
        <f>(F224*Inputs!$E$7+ABS((F224-1))*(1-Inputs!$E$7))</f>
        <v>0.75</v>
      </c>
      <c r="P224">
        <f>(G224*Inputs!$E$8+ABS((G224-1))*(1-Inputs!$E$8))</f>
        <v>0.4</v>
      </c>
      <c r="Q224">
        <f>(H224*Inputs!$E$9+ABS((H224-1))*(1-Inputs!$E$9))</f>
        <v>0.35</v>
      </c>
      <c r="R224">
        <f t="shared" si="27"/>
        <v>9.4539374999999949E-4</v>
      </c>
      <c r="T224">
        <f>Inputs!$I$2*A224*Inputs!$G$2</f>
        <v>0</v>
      </c>
      <c r="U224">
        <f>Inputs!$I$3*B224*Inputs!$G$3</f>
        <v>0</v>
      </c>
      <c r="V224">
        <f>Inputs!$I$4*C224*Inputs!$G$4</f>
        <v>0</v>
      </c>
      <c r="W224">
        <f>Inputs!$I$5*D224*Inputs!$G$5</f>
        <v>0</v>
      </c>
      <c r="X224">
        <f>Inputs!$I$6*E224*Inputs!$G$6</f>
        <v>0.37656981200100598</v>
      </c>
      <c r="Y224">
        <f>Inputs!$I$7*F224*Inputs!$G$7</f>
        <v>0.19972733373941395</v>
      </c>
      <c r="Z224">
        <f>Inputs!$I$8*G224*Inputs!$G$8</f>
        <v>0</v>
      </c>
      <c r="AA224">
        <f>Inputs!$I$9*H224*Inputs!$G$9</f>
        <v>0</v>
      </c>
      <c r="AB224">
        <f t="shared" si="24"/>
        <v>0.5762971457404199</v>
      </c>
      <c r="AD224">
        <f>Inputs!$I$2*ABS(A224-1)*Inputs!$H$2</f>
        <v>3.0082304526748989E-2</v>
      </c>
      <c r="AE224">
        <f>Inputs!$I$3*ABS(B224-1)*Inputs!$H$3</f>
        <v>1.1405796839520112E-2</v>
      </c>
      <c r="AF224">
        <f>Inputs!$I$4*ABS(C224-1)*Inputs!$H$4</f>
        <v>8.9678988679000853E-3</v>
      </c>
      <c r="AG224">
        <f>Inputs!$I$5*ABS(D224-1)*Inputs!$H$5</f>
        <v>3.0032539984442563E-2</v>
      </c>
      <c r="AH224">
        <f>Inputs!$I$6*ABS(E224-1)*Inputs!$H$6</f>
        <v>0</v>
      </c>
      <c r="AI224">
        <f>Inputs!$I$7*ABS(F224-1)*Inputs!$H$7</f>
        <v>0</v>
      </c>
      <c r="AJ224">
        <f>Inputs!$I$8*ABS(G224-1)*Inputs!$H$8</f>
        <v>5.8391635937893226E-2</v>
      </c>
      <c r="AK224">
        <f>Inputs!$I$9*ABS(H224-1)*Inputs!$H$9</f>
        <v>1.3048927592764261E-2</v>
      </c>
      <c r="AL224">
        <f t="shared" si="28"/>
        <v>-0.15192910374926924</v>
      </c>
      <c r="AN224" s="1">
        <f t="shared" si="29"/>
        <v>0.42436804199115064</v>
      </c>
      <c r="AO224">
        <f t="shared" si="25"/>
        <v>4.0119489459817116E-4</v>
      </c>
      <c r="AP224">
        <f t="shared" si="26"/>
        <v>1.2163036310894582E-3</v>
      </c>
      <c r="AQ224" s="26">
        <f t="shared" si="30"/>
        <v>1.0003344683856417</v>
      </c>
      <c r="AR224">
        <f t="shared" si="31"/>
        <v>-1.4363282512766062E-4</v>
      </c>
    </row>
    <row r="225" spans="1:44" x14ac:dyDescent="0.25">
      <c r="A225">
        <v>0</v>
      </c>
      <c r="B225">
        <v>0</v>
      </c>
      <c r="C225">
        <v>0</v>
      </c>
      <c r="D225">
        <v>0</v>
      </c>
      <c r="E225">
        <v>0</v>
      </c>
      <c r="F225">
        <v>1</v>
      </c>
      <c r="G225">
        <v>0</v>
      </c>
      <c r="H225">
        <v>0</v>
      </c>
      <c r="J225">
        <f>(A225*Inputs!$E$2+ABS((A225-1))*(1-Inputs!$E$2))</f>
        <v>0.35</v>
      </c>
      <c r="K225">
        <f>(B225*Inputs!$E$3+ABS((B225-1))*(1-Inputs!$E$3))</f>
        <v>0.35</v>
      </c>
      <c r="L225">
        <f>(C225*Inputs!$E$4+ABS((C225-1))*(1-Inputs!$E$4))</f>
        <v>0.35</v>
      </c>
      <c r="M225">
        <f>(D225*Inputs!$E$5+ABS((D225-1))*(1-Inputs!$E$5))</f>
        <v>0.35</v>
      </c>
      <c r="N225">
        <f>(E225*Inputs!$E$6+ABS((E225-1))*(1-Inputs!$E$6))</f>
        <v>0.4</v>
      </c>
      <c r="O225">
        <f>(F225*Inputs!$E$7+ABS((F225-1))*(1-Inputs!$E$7))</f>
        <v>0.75</v>
      </c>
      <c r="P225">
        <f>(G225*Inputs!$E$8+ABS((G225-1))*(1-Inputs!$E$8))</f>
        <v>0.4</v>
      </c>
      <c r="Q225">
        <f>(H225*Inputs!$E$9+ABS((H225-1))*(1-Inputs!$E$9))</f>
        <v>0.35</v>
      </c>
      <c r="R225">
        <f t="shared" si="27"/>
        <v>6.3026249999999988E-4</v>
      </c>
      <c r="T225">
        <f>Inputs!$I$2*A225*Inputs!$G$2</f>
        <v>0</v>
      </c>
      <c r="U225">
        <f>Inputs!$I$3*B225*Inputs!$G$3</f>
        <v>0</v>
      </c>
      <c r="V225">
        <f>Inputs!$I$4*C225*Inputs!$G$4</f>
        <v>0</v>
      </c>
      <c r="W225">
        <f>Inputs!$I$5*D225*Inputs!$G$5</f>
        <v>0</v>
      </c>
      <c r="X225">
        <f>Inputs!$I$6*E225*Inputs!$G$6</f>
        <v>0</v>
      </c>
      <c r="Y225">
        <f>Inputs!$I$7*F225*Inputs!$G$7</f>
        <v>0.19972733373941395</v>
      </c>
      <c r="Z225">
        <f>Inputs!$I$8*G225*Inputs!$G$8</f>
        <v>0</v>
      </c>
      <c r="AA225">
        <f>Inputs!$I$9*H225*Inputs!$G$9</f>
        <v>0</v>
      </c>
      <c r="AB225">
        <f t="shared" si="24"/>
        <v>0.19972733373941395</v>
      </c>
      <c r="AD225">
        <f>Inputs!$I$2*ABS(A225-1)*Inputs!$H$2</f>
        <v>3.0082304526748989E-2</v>
      </c>
      <c r="AE225">
        <f>Inputs!$I$3*ABS(B225-1)*Inputs!$H$3</f>
        <v>1.1405796839520112E-2</v>
      </c>
      <c r="AF225">
        <f>Inputs!$I$4*ABS(C225-1)*Inputs!$H$4</f>
        <v>8.9678988679000853E-3</v>
      </c>
      <c r="AG225">
        <f>Inputs!$I$5*ABS(D225-1)*Inputs!$H$5</f>
        <v>3.0032539984442563E-2</v>
      </c>
      <c r="AH225">
        <f>Inputs!$I$6*ABS(E225-1)*Inputs!$H$6</f>
        <v>6.4042485034184693E-2</v>
      </c>
      <c r="AI225">
        <f>Inputs!$I$7*ABS(F225-1)*Inputs!$H$7</f>
        <v>0</v>
      </c>
      <c r="AJ225">
        <f>Inputs!$I$8*ABS(G225-1)*Inputs!$H$8</f>
        <v>5.8391635937893226E-2</v>
      </c>
      <c r="AK225">
        <f>Inputs!$I$9*ABS(H225-1)*Inputs!$H$9</f>
        <v>1.3048927592764261E-2</v>
      </c>
      <c r="AL225">
        <f t="shared" si="28"/>
        <v>-0.21597158878345393</v>
      </c>
      <c r="AN225" s="1">
        <f t="shared" si="29"/>
        <v>-1.6244255044039979E-2</v>
      </c>
      <c r="AO225">
        <f t="shared" si="25"/>
        <v>-1.0238144794694246E-5</v>
      </c>
      <c r="AP225">
        <f t="shared" si="26"/>
        <v>1.5632018724894958E-3</v>
      </c>
      <c r="AQ225" s="26">
        <f t="shared" si="30"/>
        <v>0.99998967784131265</v>
      </c>
      <c r="AR225">
        <f t="shared" si="31"/>
        <v>-1.3611879347563159E-4</v>
      </c>
    </row>
    <row r="226" spans="1:44" x14ac:dyDescent="0.25">
      <c r="A226">
        <v>1</v>
      </c>
      <c r="B226">
        <v>1</v>
      </c>
      <c r="C226">
        <v>1</v>
      </c>
      <c r="D226">
        <v>1</v>
      </c>
      <c r="E226">
        <v>1</v>
      </c>
      <c r="F226">
        <v>0</v>
      </c>
      <c r="G226">
        <v>0</v>
      </c>
      <c r="H226">
        <v>0</v>
      </c>
      <c r="J226">
        <f>(A226*Inputs!$E$2+ABS((A226-1))*(1-Inputs!$E$2))</f>
        <v>0.65</v>
      </c>
      <c r="K226">
        <f>(B226*Inputs!$E$3+ABS((B226-1))*(1-Inputs!$E$3))</f>
        <v>0.65</v>
      </c>
      <c r="L226">
        <f>(C226*Inputs!$E$4+ABS((C226-1))*(1-Inputs!$E$4))</f>
        <v>0.65</v>
      </c>
      <c r="M226">
        <f>(D226*Inputs!$E$5+ABS((D226-1))*(1-Inputs!$E$5))</f>
        <v>0.65</v>
      </c>
      <c r="N226">
        <f>(E226*Inputs!$E$6+ABS((E226-1))*(1-Inputs!$E$6))</f>
        <v>0.6</v>
      </c>
      <c r="O226">
        <f>(F226*Inputs!$E$7+ABS((F226-1))*(1-Inputs!$E$7))</f>
        <v>0.25</v>
      </c>
      <c r="P226">
        <f>(G226*Inputs!$E$8+ABS((G226-1))*(1-Inputs!$E$8))</f>
        <v>0.4</v>
      </c>
      <c r="Q226">
        <f>(H226*Inputs!$E$9+ABS((H226-1))*(1-Inputs!$E$9))</f>
        <v>0.35</v>
      </c>
      <c r="R226">
        <f t="shared" si="27"/>
        <v>3.7486312500000013E-3</v>
      </c>
      <c r="T226">
        <f>Inputs!$I$2*A226*Inputs!$G$2</f>
        <v>0.52958847736625514</v>
      </c>
      <c r="U226">
        <f>Inputs!$I$3*B226*Inputs!$G$3</f>
        <v>0.20645773829738062</v>
      </c>
      <c r="V226">
        <f>Inputs!$I$4*C226*Inputs!$G$4</f>
        <v>0.1422264291528948</v>
      </c>
      <c r="W226">
        <f>Inputs!$I$5*D226*Inputs!$G$5</f>
        <v>0.20551679322687164</v>
      </c>
      <c r="X226">
        <f>Inputs!$I$6*E226*Inputs!$G$6</f>
        <v>0.37656981200100598</v>
      </c>
      <c r="Y226">
        <f>Inputs!$I$7*F226*Inputs!$G$7</f>
        <v>0</v>
      </c>
      <c r="Z226">
        <f>Inputs!$I$8*G226*Inputs!$G$8</f>
        <v>0</v>
      </c>
      <c r="AA226">
        <f>Inputs!$I$9*H226*Inputs!$G$9</f>
        <v>0</v>
      </c>
      <c r="AB226">
        <f t="shared" ref="AB226:AB257" si="32">SUM(T226:AA226)</f>
        <v>1.460359250044408</v>
      </c>
      <c r="AD226">
        <f>Inputs!$I$2*ABS(A226-1)*Inputs!$H$2</f>
        <v>0</v>
      </c>
      <c r="AE226">
        <f>Inputs!$I$3*ABS(B226-1)*Inputs!$H$3</f>
        <v>0</v>
      </c>
      <c r="AF226">
        <f>Inputs!$I$4*ABS(C226-1)*Inputs!$H$4</f>
        <v>0</v>
      </c>
      <c r="AG226">
        <f>Inputs!$I$5*ABS(D226-1)*Inputs!$H$5</f>
        <v>0</v>
      </c>
      <c r="AH226">
        <f>Inputs!$I$6*ABS(E226-1)*Inputs!$H$6</f>
        <v>0</v>
      </c>
      <c r="AI226">
        <f>Inputs!$I$7*ABS(F226-1)*Inputs!$H$7</f>
        <v>1.49493001411365E-2</v>
      </c>
      <c r="AJ226">
        <f>Inputs!$I$8*ABS(G226-1)*Inputs!$H$8</f>
        <v>5.8391635937893226E-2</v>
      </c>
      <c r="AK226">
        <f>Inputs!$I$9*ABS(H226-1)*Inputs!$H$9</f>
        <v>1.3048927592764261E-2</v>
      </c>
      <c r="AL226">
        <f t="shared" si="28"/>
        <v>-8.6389863671793979E-2</v>
      </c>
      <c r="AN226" s="1">
        <f t="shared" si="29"/>
        <v>1.3739693863726141</v>
      </c>
      <c r="AO226">
        <f t="shared" ref="AO226:AO257" si="33">AN226*R226</f>
        <v>5.1505045782997069E-3</v>
      </c>
      <c r="AP226">
        <f t="shared" ref="AP226:AP257" si="34">(AN226-$AO$258)^2*R226</f>
        <v>1.2783120777713408E-4</v>
      </c>
      <c r="AQ226" s="26">
        <f t="shared" si="30"/>
        <v>1.0032461868713807</v>
      </c>
      <c r="AR226">
        <f t="shared" si="31"/>
        <v>-3.2384374264332675E-4</v>
      </c>
    </row>
    <row r="227" spans="1:44" x14ac:dyDescent="0.25">
      <c r="A227">
        <v>1</v>
      </c>
      <c r="B227">
        <v>1</v>
      </c>
      <c r="C227">
        <v>1</v>
      </c>
      <c r="D227">
        <v>1</v>
      </c>
      <c r="E227">
        <v>0</v>
      </c>
      <c r="F227">
        <v>0</v>
      </c>
      <c r="G227">
        <v>0</v>
      </c>
      <c r="H227">
        <v>0</v>
      </c>
      <c r="J227">
        <f>(A227*Inputs!$E$2+ABS((A227-1))*(1-Inputs!$E$2))</f>
        <v>0.65</v>
      </c>
      <c r="K227">
        <f>(B227*Inputs!$E$3+ABS((B227-1))*(1-Inputs!$E$3))</f>
        <v>0.65</v>
      </c>
      <c r="L227">
        <f>(C227*Inputs!$E$4+ABS((C227-1))*(1-Inputs!$E$4))</f>
        <v>0.65</v>
      </c>
      <c r="M227">
        <f>(D227*Inputs!$E$5+ABS((D227-1))*(1-Inputs!$E$5))</f>
        <v>0.65</v>
      </c>
      <c r="N227">
        <f>(E227*Inputs!$E$6+ABS((E227-1))*(1-Inputs!$E$6))</f>
        <v>0.4</v>
      </c>
      <c r="O227">
        <f>(F227*Inputs!$E$7+ABS((F227-1))*(1-Inputs!$E$7))</f>
        <v>0.25</v>
      </c>
      <c r="P227">
        <f>(G227*Inputs!$E$8+ABS((G227-1))*(1-Inputs!$E$8))</f>
        <v>0.4</v>
      </c>
      <c r="Q227">
        <f>(H227*Inputs!$E$9+ABS((H227-1))*(1-Inputs!$E$9))</f>
        <v>0.35</v>
      </c>
      <c r="R227">
        <f t="shared" si="27"/>
        <v>2.4990875000000007E-3</v>
      </c>
      <c r="T227">
        <f>Inputs!$I$2*A227*Inputs!$G$2</f>
        <v>0.52958847736625514</v>
      </c>
      <c r="U227">
        <f>Inputs!$I$3*B227*Inputs!$G$3</f>
        <v>0.20645773829738062</v>
      </c>
      <c r="V227">
        <f>Inputs!$I$4*C227*Inputs!$G$4</f>
        <v>0.1422264291528948</v>
      </c>
      <c r="W227">
        <f>Inputs!$I$5*D227*Inputs!$G$5</f>
        <v>0.20551679322687164</v>
      </c>
      <c r="X227">
        <f>Inputs!$I$6*E227*Inputs!$G$6</f>
        <v>0</v>
      </c>
      <c r="Y227">
        <f>Inputs!$I$7*F227*Inputs!$G$7</f>
        <v>0</v>
      </c>
      <c r="Z227">
        <f>Inputs!$I$8*G227*Inputs!$G$8</f>
        <v>0</v>
      </c>
      <c r="AA227">
        <f>Inputs!$I$9*H227*Inputs!$G$9</f>
        <v>0</v>
      </c>
      <c r="AB227">
        <f t="shared" si="32"/>
        <v>1.0837894380434021</v>
      </c>
      <c r="AD227">
        <f>Inputs!$I$2*ABS(A227-1)*Inputs!$H$2</f>
        <v>0</v>
      </c>
      <c r="AE227">
        <f>Inputs!$I$3*ABS(B227-1)*Inputs!$H$3</f>
        <v>0</v>
      </c>
      <c r="AF227">
        <f>Inputs!$I$4*ABS(C227-1)*Inputs!$H$4</f>
        <v>0</v>
      </c>
      <c r="AG227">
        <f>Inputs!$I$5*ABS(D227-1)*Inputs!$H$5</f>
        <v>0</v>
      </c>
      <c r="AH227">
        <f>Inputs!$I$6*ABS(E227-1)*Inputs!$H$6</f>
        <v>6.4042485034184693E-2</v>
      </c>
      <c r="AI227">
        <f>Inputs!$I$7*ABS(F227-1)*Inputs!$H$7</f>
        <v>1.49493001411365E-2</v>
      </c>
      <c r="AJ227">
        <f>Inputs!$I$8*ABS(G227-1)*Inputs!$H$8</f>
        <v>5.8391635937893226E-2</v>
      </c>
      <c r="AK227">
        <f>Inputs!$I$9*ABS(H227-1)*Inputs!$H$9</f>
        <v>1.3048927592764261E-2</v>
      </c>
      <c r="AL227">
        <f t="shared" si="28"/>
        <v>-0.15043234870597869</v>
      </c>
      <c r="AN227" s="1">
        <f t="shared" si="29"/>
        <v>0.93335708933742345</v>
      </c>
      <c r="AO227">
        <f t="shared" si="33"/>
        <v>2.3325410349995389E-3</v>
      </c>
      <c r="AP227">
        <f t="shared" si="34"/>
        <v>9.770691551135842E-4</v>
      </c>
      <c r="AQ227" s="26">
        <f t="shared" si="30"/>
        <v>1.0016489011631271</v>
      </c>
      <c r="AR227">
        <f t="shared" si="31"/>
        <v>-3.7594360224675263E-4</v>
      </c>
    </row>
    <row r="228" spans="1:44" x14ac:dyDescent="0.25">
      <c r="A228">
        <v>1</v>
      </c>
      <c r="B228">
        <v>1</v>
      </c>
      <c r="C228">
        <v>1</v>
      </c>
      <c r="D228">
        <v>0</v>
      </c>
      <c r="E228">
        <v>1</v>
      </c>
      <c r="F228">
        <v>0</v>
      </c>
      <c r="G228">
        <v>0</v>
      </c>
      <c r="H228">
        <v>0</v>
      </c>
      <c r="J228">
        <f>(A228*Inputs!$E$2+ABS((A228-1))*(1-Inputs!$E$2))</f>
        <v>0.65</v>
      </c>
      <c r="K228">
        <f>(B228*Inputs!$E$3+ABS((B228-1))*(1-Inputs!$E$3))</f>
        <v>0.65</v>
      </c>
      <c r="L228">
        <f>(C228*Inputs!$E$4+ABS((C228-1))*(1-Inputs!$E$4))</f>
        <v>0.65</v>
      </c>
      <c r="M228">
        <f>(D228*Inputs!$E$5+ABS((D228-1))*(1-Inputs!$E$5))</f>
        <v>0.35</v>
      </c>
      <c r="N228">
        <f>(E228*Inputs!$E$6+ABS((E228-1))*(1-Inputs!$E$6))</f>
        <v>0.6</v>
      </c>
      <c r="O228">
        <f>(F228*Inputs!$E$7+ABS((F228-1))*(1-Inputs!$E$7))</f>
        <v>0.25</v>
      </c>
      <c r="P228">
        <f>(G228*Inputs!$E$8+ABS((G228-1))*(1-Inputs!$E$8))</f>
        <v>0.4</v>
      </c>
      <c r="Q228">
        <f>(H228*Inputs!$E$9+ABS((H228-1))*(1-Inputs!$E$9))</f>
        <v>0.35</v>
      </c>
      <c r="R228">
        <f t="shared" si="27"/>
        <v>2.0184937500000006E-3</v>
      </c>
      <c r="T228">
        <f>Inputs!$I$2*A228*Inputs!$G$2</f>
        <v>0.52958847736625514</v>
      </c>
      <c r="U228">
        <f>Inputs!$I$3*B228*Inputs!$G$3</f>
        <v>0.20645773829738062</v>
      </c>
      <c r="V228">
        <f>Inputs!$I$4*C228*Inputs!$G$4</f>
        <v>0.1422264291528948</v>
      </c>
      <c r="W228">
        <f>Inputs!$I$5*D228*Inputs!$G$5</f>
        <v>0</v>
      </c>
      <c r="X228">
        <f>Inputs!$I$6*E228*Inputs!$G$6</f>
        <v>0.37656981200100598</v>
      </c>
      <c r="Y228">
        <f>Inputs!$I$7*F228*Inputs!$G$7</f>
        <v>0</v>
      </c>
      <c r="Z228">
        <f>Inputs!$I$8*G228*Inputs!$G$8</f>
        <v>0</v>
      </c>
      <c r="AA228">
        <f>Inputs!$I$9*H228*Inputs!$G$9</f>
        <v>0</v>
      </c>
      <c r="AB228">
        <f t="shared" si="32"/>
        <v>1.2548424568175365</v>
      </c>
      <c r="AD228">
        <f>Inputs!$I$2*ABS(A228-1)*Inputs!$H$2</f>
        <v>0</v>
      </c>
      <c r="AE228">
        <f>Inputs!$I$3*ABS(B228-1)*Inputs!$H$3</f>
        <v>0</v>
      </c>
      <c r="AF228">
        <f>Inputs!$I$4*ABS(C228-1)*Inputs!$H$4</f>
        <v>0</v>
      </c>
      <c r="AG228">
        <f>Inputs!$I$5*ABS(D228-1)*Inputs!$H$5</f>
        <v>3.0032539984442563E-2</v>
      </c>
      <c r="AH228">
        <f>Inputs!$I$6*ABS(E228-1)*Inputs!$H$6</f>
        <v>0</v>
      </c>
      <c r="AI228">
        <f>Inputs!$I$7*ABS(F228-1)*Inputs!$H$7</f>
        <v>1.49493001411365E-2</v>
      </c>
      <c r="AJ228">
        <f>Inputs!$I$8*ABS(G228-1)*Inputs!$H$8</f>
        <v>5.8391635937893226E-2</v>
      </c>
      <c r="AK228">
        <f>Inputs!$I$9*ABS(H228-1)*Inputs!$H$9</f>
        <v>1.3048927592764261E-2</v>
      </c>
      <c r="AL228">
        <f t="shared" si="28"/>
        <v>-0.11642240365623654</v>
      </c>
      <c r="AN228" s="1">
        <f t="shared" si="29"/>
        <v>1.1384200531613</v>
      </c>
      <c r="AO228">
        <f t="shared" si="33"/>
        <v>2.2978937621807526E-3</v>
      </c>
      <c r="AP228">
        <f t="shared" si="34"/>
        <v>3.5642399280972026E-4</v>
      </c>
      <c r="AQ228" s="26">
        <f t="shared" si="30"/>
        <v>1.001535368493969</v>
      </c>
      <c r="AR228">
        <f t="shared" si="31"/>
        <v>-2.3499789414009069E-4</v>
      </c>
    </row>
    <row r="229" spans="1:44" x14ac:dyDescent="0.25">
      <c r="A229">
        <v>1</v>
      </c>
      <c r="B229">
        <v>1</v>
      </c>
      <c r="C229">
        <v>1</v>
      </c>
      <c r="D229">
        <v>0</v>
      </c>
      <c r="E229">
        <v>0</v>
      </c>
      <c r="F229">
        <v>0</v>
      </c>
      <c r="G229">
        <v>0</v>
      </c>
      <c r="H229">
        <v>0</v>
      </c>
      <c r="J229">
        <f>(A229*Inputs!$E$2+ABS((A229-1))*(1-Inputs!$E$2))</f>
        <v>0.65</v>
      </c>
      <c r="K229">
        <f>(B229*Inputs!$E$3+ABS((B229-1))*(1-Inputs!$E$3))</f>
        <v>0.65</v>
      </c>
      <c r="L229">
        <f>(C229*Inputs!$E$4+ABS((C229-1))*(1-Inputs!$E$4))</f>
        <v>0.65</v>
      </c>
      <c r="M229">
        <f>(D229*Inputs!$E$5+ABS((D229-1))*(1-Inputs!$E$5))</f>
        <v>0.35</v>
      </c>
      <c r="N229">
        <f>(E229*Inputs!$E$6+ABS((E229-1))*(1-Inputs!$E$6))</f>
        <v>0.4</v>
      </c>
      <c r="O229">
        <f>(F229*Inputs!$E$7+ABS((F229-1))*(1-Inputs!$E$7))</f>
        <v>0.25</v>
      </c>
      <c r="P229">
        <f>(G229*Inputs!$E$8+ABS((G229-1))*(1-Inputs!$E$8))</f>
        <v>0.4</v>
      </c>
      <c r="Q229">
        <f>(H229*Inputs!$E$9+ABS((H229-1))*(1-Inputs!$E$9))</f>
        <v>0.35</v>
      </c>
      <c r="R229">
        <f t="shared" si="27"/>
        <v>1.3456625000000002E-3</v>
      </c>
      <c r="T229">
        <f>Inputs!$I$2*A229*Inputs!$G$2</f>
        <v>0.52958847736625514</v>
      </c>
      <c r="U229">
        <f>Inputs!$I$3*B229*Inputs!$G$3</f>
        <v>0.20645773829738062</v>
      </c>
      <c r="V229">
        <f>Inputs!$I$4*C229*Inputs!$G$4</f>
        <v>0.1422264291528948</v>
      </c>
      <c r="W229">
        <f>Inputs!$I$5*D229*Inputs!$G$5</f>
        <v>0</v>
      </c>
      <c r="X229">
        <f>Inputs!$I$6*E229*Inputs!$G$6</f>
        <v>0</v>
      </c>
      <c r="Y229">
        <f>Inputs!$I$7*F229*Inputs!$G$7</f>
        <v>0</v>
      </c>
      <c r="Z229">
        <f>Inputs!$I$8*G229*Inputs!$G$8</f>
        <v>0</v>
      </c>
      <c r="AA229">
        <f>Inputs!$I$9*H229*Inputs!$G$9</f>
        <v>0</v>
      </c>
      <c r="AB229">
        <f t="shared" si="32"/>
        <v>0.87827264481653056</v>
      </c>
      <c r="AD229">
        <f>Inputs!$I$2*ABS(A229-1)*Inputs!$H$2</f>
        <v>0</v>
      </c>
      <c r="AE229">
        <f>Inputs!$I$3*ABS(B229-1)*Inputs!$H$3</f>
        <v>0</v>
      </c>
      <c r="AF229">
        <f>Inputs!$I$4*ABS(C229-1)*Inputs!$H$4</f>
        <v>0</v>
      </c>
      <c r="AG229">
        <f>Inputs!$I$5*ABS(D229-1)*Inputs!$H$5</f>
        <v>3.0032539984442563E-2</v>
      </c>
      <c r="AH229">
        <f>Inputs!$I$6*ABS(E229-1)*Inputs!$H$6</f>
        <v>6.4042485034184693E-2</v>
      </c>
      <c r="AI229">
        <f>Inputs!$I$7*ABS(F229-1)*Inputs!$H$7</f>
        <v>1.49493001411365E-2</v>
      </c>
      <c r="AJ229">
        <f>Inputs!$I$8*ABS(G229-1)*Inputs!$H$8</f>
        <v>5.8391635937893226E-2</v>
      </c>
      <c r="AK229">
        <f>Inputs!$I$9*ABS(H229-1)*Inputs!$H$9</f>
        <v>1.3048927592764261E-2</v>
      </c>
      <c r="AL229">
        <f t="shared" si="28"/>
        <v>-0.18046488869042127</v>
      </c>
      <c r="AN229" s="1">
        <f t="shared" si="29"/>
        <v>0.69780775612610935</v>
      </c>
      <c r="AO229">
        <f t="shared" si="33"/>
        <v>9.3901372962805084E-4</v>
      </c>
      <c r="AP229">
        <f t="shared" si="34"/>
        <v>9.9716370529938044E-4</v>
      </c>
      <c r="AQ229" s="26">
        <f t="shared" si="30"/>
        <v>1.0007125638660397</v>
      </c>
      <c r="AR229">
        <f t="shared" si="31"/>
        <v>-2.4284483327737406E-4</v>
      </c>
    </row>
    <row r="230" spans="1:44" x14ac:dyDescent="0.25">
      <c r="A230">
        <v>1</v>
      </c>
      <c r="B230">
        <v>1</v>
      </c>
      <c r="C230">
        <v>0</v>
      </c>
      <c r="D230">
        <v>1</v>
      </c>
      <c r="E230">
        <v>1</v>
      </c>
      <c r="F230">
        <v>0</v>
      </c>
      <c r="G230">
        <v>0</v>
      </c>
      <c r="H230">
        <v>0</v>
      </c>
      <c r="J230">
        <f>(A230*Inputs!$E$2+ABS((A230-1))*(1-Inputs!$E$2))</f>
        <v>0.65</v>
      </c>
      <c r="K230">
        <f>(B230*Inputs!$E$3+ABS((B230-1))*(1-Inputs!$E$3))</f>
        <v>0.65</v>
      </c>
      <c r="L230">
        <f>(C230*Inputs!$E$4+ABS((C230-1))*(1-Inputs!$E$4))</f>
        <v>0.35</v>
      </c>
      <c r="M230">
        <f>(D230*Inputs!$E$5+ABS((D230-1))*(1-Inputs!$E$5))</f>
        <v>0.65</v>
      </c>
      <c r="N230">
        <f>(E230*Inputs!$E$6+ABS((E230-1))*(1-Inputs!$E$6))</f>
        <v>0.6</v>
      </c>
      <c r="O230">
        <f>(F230*Inputs!$E$7+ABS((F230-1))*(1-Inputs!$E$7))</f>
        <v>0.25</v>
      </c>
      <c r="P230">
        <f>(G230*Inputs!$E$8+ABS((G230-1))*(1-Inputs!$E$8))</f>
        <v>0.4</v>
      </c>
      <c r="Q230">
        <f>(H230*Inputs!$E$9+ABS((H230-1))*(1-Inputs!$E$9))</f>
        <v>0.35</v>
      </c>
      <c r="R230">
        <f t="shared" si="27"/>
        <v>2.0184937500000001E-3</v>
      </c>
      <c r="T230">
        <f>Inputs!$I$2*A230*Inputs!$G$2</f>
        <v>0.52958847736625514</v>
      </c>
      <c r="U230">
        <f>Inputs!$I$3*B230*Inputs!$G$3</f>
        <v>0.20645773829738062</v>
      </c>
      <c r="V230">
        <f>Inputs!$I$4*C230*Inputs!$G$4</f>
        <v>0</v>
      </c>
      <c r="W230">
        <f>Inputs!$I$5*D230*Inputs!$G$5</f>
        <v>0.20551679322687164</v>
      </c>
      <c r="X230">
        <f>Inputs!$I$6*E230*Inputs!$G$6</f>
        <v>0.37656981200100598</v>
      </c>
      <c r="Y230">
        <f>Inputs!$I$7*F230*Inputs!$G$7</f>
        <v>0</v>
      </c>
      <c r="Z230">
        <f>Inputs!$I$8*G230*Inputs!$G$8</f>
        <v>0</v>
      </c>
      <c r="AA230">
        <f>Inputs!$I$9*H230*Inputs!$G$9</f>
        <v>0</v>
      </c>
      <c r="AB230">
        <f t="shared" si="32"/>
        <v>1.3181328208915135</v>
      </c>
      <c r="AD230">
        <f>Inputs!$I$2*ABS(A230-1)*Inputs!$H$2</f>
        <v>0</v>
      </c>
      <c r="AE230">
        <f>Inputs!$I$3*ABS(B230-1)*Inputs!$H$3</f>
        <v>0</v>
      </c>
      <c r="AF230">
        <f>Inputs!$I$4*ABS(C230-1)*Inputs!$H$4</f>
        <v>8.9678988679000853E-3</v>
      </c>
      <c r="AG230">
        <f>Inputs!$I$5*ABS(D230-1)*Inputs!$H$5</f>
        <v>0</v>
      </c>
      <c r="AH230">
        <f>Inputs!$I$6*ABS(E230-1)*Inputs!$H$6</f>
        <v>0</v>
      </c>
      <c r="AI230">
        <f>Inputs!$I$7*ABS(F230-1)*Inputs!$H$7</f>
        <v>1.49493001411365E-2</v>
      </c>
      <c r="AJ230">
        <f>Inputs!$I$8*ABS(G230-1)*Inputs!$H$8</f>
        <v>5.8391635937893226E-2</v>
      </c>
      <c r="AK230">
        <f>Inputs!$I$9*ABS(H230-1)*Inputs!$H$9</f>
        <v>1.3048927592764261E-2</v>
      </c>
      <c r="AL230">
        <f t="shared" si="28"/>
        <v>-9.5357762539694066E-2</v>
      </c>
      <c r="AN230" s="1">
        <f t="shared" si="29"/>
        <v>1.2227750583518195</v>
      </c>
      <c r="AO230">
        <f t="shared" si="33"/>
        <v>2.4681638129390331E-3</v>
      </c>
      <c r="AP230">
        <f t="shared" si="34"/>
        <v>2.2768765484234776E-4</v>
      </c>
      <c r="AQ230" s="26">
        <f t="shared" si="30"/>
        <v>1.0016135853150827</v>
      </c>
      <c r="AR230">
        <f t="shared" si="31"/>
        <v>-1.9247904770035662E-4</v>
      </c>
    </row>
    <row r="231" spans="1:44" x14ac:dyDescent="0.25">
      <c r="A231">
        <v>1</v>
      </c>
      <c r="B231">
        <v>1</v>
      </c>
      <c r="C231">
        <v>0</v>
      </c>
      <c r="D231">
        <v>1</v>
      </c>
      <c r="E231">
        <v>0</v>
      </c>
      <c r="F231">
        <v>0</v>
      </c>
      <c r="G231">
        <v>0</v>
      </c>
      <c r="H231">
        <v>0</v>
      </c>
      <c r="J231">
        <f>(A231*Inputs!$E$2+ABS((A231-1))*(1-Inputs!$E$2))</f>
        <v>0.65</v>
      </c>
      <c r="K231">
        <f>(B231*Inputs!$E$3+ABS((B231-1))*(1-Inputs!$E$3))</f>
        <v>0.65</v>
      </c>
      <c r="L231">
        <f>(C231*Inputs!$E$4+ABS((C231-1))*(1-Inputs!$E$4))</f>
        <v>0.35</v>
      </c>
      <c r="M231">
        <f>(D231*Inputs!$E$5+ABS((D231-1))*(1-Inputs!$E$5))</f>
        <v>0.65</v>
      </c>
      <c r="N231">
        <f>(E231*Inputs!$E$6+ABS((E231-1))*(1-Inputs!$E$6))</f>
        <v>0.4</v>
      </c>
      <c r="O231">
        <f>(F231*Inputs!$E$7+ABS((F231-1))*(1-Inputs!$E$7))</f>
        <v>0.25</v>
      </c>
      <c r="P231">
        <f>(G231*Inputs!$E$8+ABS((G231-1))*(1-Inputs!$E$8))</f>
        <v>0.4</v>
      </c>
      <c r="Q231">
        <f>(H231*Inputs!$E$9+ABS((H231-1))*(1-Inputs!$E$9))</f>
        <v>0.35</v>
      </c>
      <c r="R231">
        <f t="shared" si="27"/>
        <v>1.3456625E-3</v>
      </c>
      <c r="T231">
        <f>Inputs!$I$2*A231*Inputs!$G$2</f>
        <v>0.52958847736625514</v>
      </c>
      <c r="U231">
        <f>Inputs!$I$3*B231*Inputs!$G$3</f>
        <v>0.20645773829738062</v>
      </c>
      <c r="V231">
        <f>Inputs!$I$4*C231*Inputs!$G$4</f>
        <v>0</v>
      </c>
      <c r="W231">
        <f>Inputs!$I$5*D231*Inputs!$G$5</f>
        <v>0.20551679322687164</v>
      </c>
      <c r="X231">
        <f>Inputs!$I$6*E231*Inputs!$G$6</f>
        <v>0</v>
      </c>
      <c r="Y231">
        <f>Inputs!$I$7*F231*Inputs!$G$7</f>
        <v>0</v>
      </c>
      <c r="Z231">
        <f>Inputs!$I$8*G231*Inputs!$G$8</f>
        <v>0</v>
      </c>
      <c r="AA231">
        <f>Inputs!$I$9*H231*Inputs!$G$9</f>
        <v>0</v>
      </c>
      <c r="AB231">
        <f t="shared" si="32"/>
        <v>0.94156300889050748</v>
      </c>
      <c r="AD231">
        <f>Inputs!$I$2*ABS(A231-1)*Inputs!$H$2</f>
        <v>0</v>
      </c>
      <c r="AE231">
        <f>Inputs!$I$3*ABS(B231-1)*Inputs!$H$3</f>
        <v>0</v>
      </c>
      <c r="AF231">
        <f>Inputs!$I$4*ABS(C231-1)*Inputs!$H$4</f>
        <v>8.9678988679000853E-3</v>
      </c>
      <c r="AG231">
        <f>Inputs!$I$5*ABS(D231-1)*Inputs!$H$5</f>
        <v>0</v>
      </c>
      <c r="AH231">
        <f>Inputs!$I$6*ABS(E231-1)*Inputs!$H$6</f>
        <v>6.4042485034184693E-2</v>
      </c>
      <c r="AI231">
        <f>Inputs!$I$7*ABS(F231-1)*Inputs!$H$7</f>
        <v>1.49493001411365E-2</v>
      </c>
      <c r="AJ231">
        <f>Inputs!$I$8*ABS(G231-1)*Inputs!$H$8</f>
        <v>5.8391635937893226E-2</v>
      </c>
      <c r="AK231">
        <f>Inputs!$I$9*ABS(H231-1)*Inputs!$H$9</f>
        <v>1.3048927592764261E-2</v>
      </c>
      <c r="AL231">
        <f t="shared" si="28"/>
        <v>-0.15940024757387877</v>
      </c>
      <c r="AN231" s="1">
        <f t="shared" si="29"/>
        <v>0.78216276131662865</v>
      </c>
      <c r="AO231">
        <f t="shared" si="33"/>
        <v>1.0525270968002379E-3</v>
      </c>
      <c r="AP231">
        <f t="shared" si="34"/>
        <v>8.1130870907992613E-4</v>
      </c>
      <c r="AQ231" s="26">
        <f t="shared" si="30"/>
        <v>1.000777863394066</v>
      </c>
      <c r="AR231">
        <f t="shared" si="31"/>
        <v>-2.1449893565088466E-4</v>
      </c>
    </row>
    <row r="232" spans="1:44" x14ac:dyDescent="0.25">
      <c r="A232">
        <v>1</v>
      </c>
      <c r="B232">
        <v>1</v>
      </c>
      <c r="C232">
        <v>0</v>
      </c>
      <c r="D232">
        <v>0</v>
      </c>
      <c r="E232">
        <v>1</v>
      </c>
      <c r="F232">
        <v>0</v>
      </c>
      <c r="G232">
        <v>0</v>
      </c>
      <c r="H232">
        <v>0</v>
      </c>
      <c r="J232">
        <f>(A232*Inputs!$E$2+ABS((A232-1))*(1-Inputs!$E$2))</f>
        <v>0.65</v>
      </c>
      <c r="K232">
        <f>(B232*Inputs!$E$3+ABS((B232-1))*(1-Inputs!$E$3))</f>
        <v>0.65</v>
      </c>
      <c r="L232">
        <f>(C232*Inputs!$E$4+ABS((C232-1))*(1-Inputs!$E$4))</f>
        <v>0.35</v>
      </c>
      <c r="M232">
        <f>(D232*Inputs!$E$5+ABS((D232-1))*(1-Inputs!$E$5))</f>
        <v>0.35</v>
      </c>
      <c r="N232">
        <f>(E232*Inputs!$E$6+ABS((E232-1))*(1-Inputs!$E$6))</f>
        <v>0.6</v>
      </c>
      <c r="O232">
        <f>(F232*Inputs!$E$7+ABS((F232-1))*(1-Inputs!$E$7))</f>
        <v>0.25</v>
      </c>
      <c r="P232">
        <f>(G232*Inputs!$E$8+ABS((G232-1))*(1-Inputs!$E$8))</f>
        <v>0.4</v>
      </c>
      <c r="Q232">
        <f>(H232*Inputs!$E$9+ABS((H232-1))*(1-Inputs!$E$9))</f>
        <v>0.35</v>
      </c>
      <c r="R232">
        <f t="shared" si="27"/>
        <v>1.0868812499999999E-3</v>
      </c>
      <c r="T232">
        <f>Inputs!$I$2*A232*Inputs!$G$2</f>
        <v>0.52958847736625514</v>
      </c>
      <c r="U232">
        <f>Inputs!$I$3*B232*Inputs!$G$3</f>
        <v>0.20645773829738062</v>
      </c>
      <c r="V232">
        <f>Inputs!$I$4*C232*Inputs!$G$4</f>
        <v>0</v>
      </c>
      <c r="W232">
        <f>Inputs!$I$5*D232*Inputs!$G$5</f>
        <v>0</v>
      </c>
      <c r="X232">
        <f>Inputs!$I$6*E232*Inputs!$G$6</f>
        <v>0.37656981200100598</v>
      </c>
      <c r="Y232">
        <f>Inputs!$I$7*F232*Inputs!$G$7</f>
        <v>0</v>
      </c>
      <c r="Z232">
        <f>Inputs!$I$8*G232*Inputs!$G$8</f>
        <v>0</v>
      </c>
      <c r="AA232">
        <f>Inputs!$I$9*H232*Inputs!$G$9</f>
        <v>0</v>
      </c>
      <c r="AB232">
        <f t="shared" si="32"/>
        <v>1.1126160276646417</v>
      </c>
      <c r="AD232">
        <f>Inputs!$I$2*ABS(A232-1)*Inputs!$H$2</f>
        <v>0</v>
      </c>
      <c r="AE232">
        <f>Inputs!$I$3*ABS(B232-1)*Inputs!$H$3</f>
        <v>0</v>
      </c>
      <c r="AF232">
        <f>Inputs!$I$4*ABS(C232-1)*Inputs!$H$4</f>
        <v>8.9678988679000853E-3</v>
      </c>
      <c r="AG232">
        <f>Inputs!$I$5*ABS(D232-1)*Inputs!$H$5</f>
        <v>3.0032539984442563E-2</v>
      </c>
      <c r="AH232">
        <f>Inputs!$I$6*ABS(E232-1)*Inputs!$H$6</f>
        <v>0</v>
      </c>
      <c r="AI232">
        <f>Inputs!$I$7*ABS(F232-1)*Inputs!$H$7</f>
        <v>1.49493001411365E-2</v>
      </c>
      <c r="AJ232">
        <f>Inputs!$I$8*ABS(G232-1)*Inputs!$H$8</f>
        <v>5.8391635937893226E-2</v>
      </c>
      <c r="AK232">
        <f>Inputs!$I$9*ABS(H232-1)*Inputs!$H$9</f>
        <v>1.3048927592764261E-2</v>
      </c>
      <c r="AL232">
        <f t="shared" si="28"/>
        <v>-0.12539030252413663</v>
      </c>
      <c r="AN232" s="1">
        <f t="shared" si="29"/>
        <v>0.98722572514050511</v>
      </c>
      <c r="AO232">
        <f t="shared" si="33"/>
        <v>1.0729971301728686E-3</v>
      </c>
      <c r="AP232">
        <f t="shared" si="34"/>
        <v>3.5487394601968291E-4</v>
      </c>
      <c r="AQ232" s="26">
        <f t="shared" si="30"/>
        <v>1.0007466829783711</v>
      </c>
      <c r="AR232">
        <f t="shared" si="31"/>
        <v>-1.3628436874531176E-4</v>
      </c>
    </row>
    <row r="233" spans="1:44" x14ac:dyDescent="0.25">
      <c r="A233">
        <v>1</v>
      </c>
      <c r="B233">
        <v>1</v>
      </c>
      <c r="C233">
        <v>0</v>
      </c>
      <c r="D233">
        <v>0</v>
      </c>
      <c r="E233">
        <v>0</v>
      </c>
      <c r="F233">
        <v>0</v>
      </c>
      <c r="G233">
        <v>0</v>
      </c>
      <c r="H233">
        <v>0</v>
      </c>
      <c r="J233">
        <f>(A233*Inputs!$E$2+ABS((A233-1))*(1-Inputs!$E$2))</f>
        <v>0.65</v>
      </c>
      <c r="K233">
        <f>(B233*Inputs!$E$3+ABS((B233-1))*(1-Inputs!$E$3))</f>
        <v>0.65</v>
      </c>
      <c r="L233">
        <f>(C233*Inputs!$E$4+ABS((C233-1))*(1-Inputs!$E$4))</f>
        <v>0.35</v>
      </c>
      <c r="M233">
        <f>(D233*Inputs!$E$5+ABS((D233-1))*(1-Inputs!$E$5))</f>
        <v>0.35</v>
      </c>
      <c r="N233">
        <f>(E233*Inputs!$E$6+ABS((E233-1))*(1-Inputs!$E$6))</f>
        <v>0.4</v>
      </c>
      <c r="O233">
        <f>(F233*Inputs!$E$7+ABS((F233-1))*(1-Inputs!$E$7))</f>
        <v>0.25</v>
      </c>
      <c r="P233">
        <f>(G233*Inputs!$E$8+ABS((G233-1))*(1-Inputs!$E$8))</f>
        <v>0.4</v>
      </c>
      <c r="Q233">
        <f>(H233*Inputs!$E$9+ABS((H233-1))*(1-Inputs!$E$9))</f>
        <v>0.35</v>
      </c>
      <c r="R233">
        <f t="shared" si="27"/>
        <v>7.2458750000000001E-4</v>
      </c>
      <c r="T233">
        <f>Inputs!$I$2*A233*Inputs!$G$2</f>
        <v>0.52958847736625514</v>
      </c>
      <c r="U233">
        <f>Inputs!$I$3*B233*Inputs!$G$3</f>
        <v>0.20645773829738062</v>
      </c>
      <c r="V233">
        <f>Inputs!$I$4*C233*Inputs!$G$4</f>
        <v>0</v>
      </c>
      <c r="W233">
        <f>Inputs!$I$5*D233*Inputs!$G$5</f>
        <v>0</v>
      </c>
      <c r="X233">
        <f>Inputs!$I$6*E233*Inputs!$G$6</f>
        <v>0</v>
      </c>
      <c r="Y233">
        <f>Inputs!$I$7*F233*Inputs!$G$7</f>
        <v>0</v>
      </c>
      <c r="Z233">
        <f>Inputs!$I$8*G233*Inputs!$G$8</f>
        <v>0</v>
      </c>
      <c r="AA233">
        <f>Inputs!$I$9*H233*Inputs!$G$9</f>
        <v>0</v>
      </c>
      <c r="AB233">
        <f t="shared" si="32"/>
        <v>0.73604621566363582</v>
      </c>
      <c r="AD233">
        <f>Inputs!$I$2*ABS(A233-1)*Inputs!$H$2</f>
        <v>0</v>
      </c>
      <c r="AE233">
        <f>Inputs!$I$3*ABS(B233-1)*Inputs!$H$3</f>
        <v>0</v>
      </c>
      <c r="AF233">
        <f>Inputs!$I$4*ABS(C233-1)*Inputs!$H$4</f>
        <v>8.9678988679000853E-3</v>
      </c>
      <c r="AG233">
        <f>Inputs!$I$5*ABS(D233-1)*Inputs!$H$5</f>
        <v>3.0032539984442563E-2</v>
      </c>
      <c r="AH233">
        <f>Inputs!$I$6*ABS(E233-1)*Inputs!$H$6</f>
        <v>6.4042485034184693E-2</v>
      </c>
      <c r="AI233">
        <f>Inputs!$I$7*ABS(F233-1)*Inputs!$H$7</f>
        <v>1.49493001411365E-2</v>
      </c>
      <c r="AJ233">
        <f>Inputs!$I$8*ABS(G233-1)*Inputs!$H$8</f>
        <v>5.8391635937893226E-2</v>
      </c>
      <c r="AK233">
        <f>Inputs!$I$9*ABS(H233-1)*Inputs!$H$9</f>
        <v>1.3048927592764261E-2</v>
      </c>
      <c r="AL233">
        <f t="shared" si="28"/>
        <v>-0.18943278755832132</v>
      </c>
      <c r="AN233" s="1">
        <f t="shared" si="29"/>
        <v>0.54661342810531455</v>
      </c>
      <c r="AO233">
        <f t="shared" si="33"/>
        <v>3.9606925733725961E-4</v>
      </c>
      <c r="AP233">
        <f t="shared" si="34"/>
        <v>7.4211111551871671E-4</v>
      </c>
      <c r="AQ233" s="26">
        <f t="shared" si="30"/>
        <v>1.0003160190958422</v>
      </c>
      <c r="AR233">
        <f t="shared" si="31"/>
        <v>-1.3726062995491516E-4</v>
      </c>
    </row>
    <row r="234" spans="1:44" x14ac:dyDescent="0.25">
      <c r="A234">
        <v>1</v>
      </c>
      <c r="B234">
        <v>0</v>
      </c>
      <c r="C234">
        <v>1</v>
      </c>
      <c r="D234">
        <v>1</v>
      </c>
      <c r="E234">
        <v>1</v>
      </c>
      <c r="F234">
        <v>0</v>
      </c>
      <c r="G234">
        <v>0</v>
      </c>
      <c r="H234">
        <v>0</v>
      </c>
      <c r="J234">
        <f>(A234*Inputs!$E$2+ABS((A234-1))*(1-Inputs!$E$2))</f>
        <v>0.65</v>
      </c>
      <c r="K234">
        <f>(B234*Inputs!$E$3+ABS((B234-1))*(1-Inputs!$E$3))</f>
        <v>0.35</v>
      </c>
      <c r="L234">
        <f>(C234*Inputs!$E$4+ABS((C234-1))*(1-Inputs!$E$4))</f>
        <v>0.65</v>
      </c>
      <c r="M234">
        <f>(D234*Inputs!$E$5+ABS((D234-1))*(1-Inputs!$E$5))</f>
        <v>0.65</v>
      </c>
      <c r="N234">
        <f>(E234*Inputs!$E$6+ABS((E234-1))*(1-Inputs!$E$6))</f>
        <v>0.6</v>
      </c>
      <c r="O234">
        <f>(F234*Inputs!$E$7+ABS((F234-1))*(1-Inputs!$E$7))</f>
        <v>0.25</v>
      </c>
      <c r="P234">
        <f>(G234*Inputs!$E$8+ABS((G234-1))*(1-Inputs!$E$8))</f>
        <v>0.4</v>
      </c>
      <c r="Q234">
        <f>(H234*Inputs!$E$9+ABS((H234-1))*(1-Inputs!$E$9))</f>
        <v>0.35</v>
      </c>
      <c r="R234">
        <f t="shared" si="27"/>
        <v>2.0184937499999997E-3</v>
      </c>
      <c r="T234">
        <f>Inputs!$I$2*A234*Inputs!$G$2</f>
        <v>0.52958847736625514</v>
      </c>
      <c r="U234">
        <f>Inputs!$I$3*B234*Inputs!$G$3</f>
        <v>0</v>
      </c>
      <c r="V234">
        <f>Inputs!$I$4*C234*Inputs!$G$4</f>
        <v>0.1422264291528948</v>
      </c>
      <c r="W234">
        <f>Inputs!$I$5*D234*Inputs!$G$5</f>
        <v>0.20551679322687164</v>
      </c>
      <c r="X234">
        <f>Inputs!$I$6*E234*Inputs!$G$6</f>
        <v>0.37656981200100598</v>
      </c>
      <c r="Y234">
        <f>Inputs!$I$7*F234*Inputs!$G$7</f>
        <v>0</v>
      </c>
      <c r="Z234">
        <f>Inputs!$I$8*G234*Inputs!$G$8</f>
        <v>0</v>
      </c>
      <c r="AA234">
        <f>Inputs!$I$9*H234*Inputs!$G$9</f>
        <v>0</v>
      </c>
      <c r="AB234">
        <f t="shared" si="32"/>
        <v>1.2539015117470276</v>
      </c>
      <c r="AD234">
        <f>Inputs!$I$2*ABS(A234-1)*Inputs!$H$2</f>
        <v>0</v>
      </c>
      <c r="AE234">
        <f>Inputs!$I$3*ABS(B234-1)*Inputs!$H$3</f>
        <v>1.1405796839520112E-2</v>
      </c>
      <c r="AF234">
        <f>Inputs!$I$4*ABS(C234-1)*Inputs!$H$4</f>
        <v>0</v>
      </c>
      <c r="AG234">
        <f>Inputs!$I$5*ABS(D234-1)*Inputs!$H$5</f>
        <v>0</v>
      </c>
      <c r="AH234">
        <f>Inputs!$I$6*ABS(E234-1)*Inputs!$H$6</f>
        <v>0</v>
      </c>
      <c r="AI234">
        <f>Inputs!$I$7*ABS(F234-1)*Inputs!$H$7</f>
        <v>1.49493001411365E-2</v>
      </c>
      <c r="AJ234">
        <f>Inputs!$I$8*ABS(G234-1)*Inputs!$H$8</f>
        <v>5.8391635937893226E-2</v>
      </c>
      <c r="AK234">
        <f>Inputs!$I$9*ABS(H234-1)*Inputs!$H$9</f>
        <v>1.3048927592764261E-2</v>
      </c>
      <c r="AL234">
        <f t="shared" si="28"/>
        <v>-9.7795660511314095E-2</v>
      </c>
      <c r="AN234" s="1">
        <f t="shared" si="29"/>
        <v>1.1561058512357134</v>
      </c>
      <c r="AO234">
        <f t="shared" si="33"/>
        <v>2.3335924350577171E-3</v>
      </c>
      <c r="AP234">
        <f t="shared" si="34"/>
        <v>3.2705324033566928E-4</v>
      </c>
      <c r="AQ234" s="26">
        <f t="shared" si="30"/>
        <v>1.0015520194508498</v>
      </c>
      <c r="AR234">
        <f t="shared" si="31"/>
        <v>-1.9739992951920928E-4</v>
      </c>
    </row>
    <row r="235" spans="1:44" x14ac:dyDescent="0.25">
      <c r="A235">
        <v>1</v>
      </c>
      <c r="B235">
        <v>0</v>
      </c>
      <c r="C235">
        <v>1</v>
      </c>
      <c r="D235">
        <v>1</v>
      </c>
      <c r="E235">
        <v>0</v>
      </c>
      <c r="F235">
        <v>0</v>
      </c>
      <c r="G235">
        <v>0</v>
      </c>
      <c r="H235">
        <v>0</v>
      </c>
      <c r="J235">
        <f>(A235*Inputs!$E$2+ABS((A235-1))*(1-Inputs!$E$2))</f>
        <v>0.65</v>
      </c>
      <c r="K235">
        <f>(B235*Inputs!$E$3+ABS((B235-1))*(1-Inputs!$E$3))</f>
        <v>0.35</v>
      </c>
      <c r="L235">
        <f>(C235*Inputs!$E$4+ABS((C235-1))*(1-Inputs!$E$4))</f>
        <v>0.65</v>
      </c>
      <c r="M235">
        <f>(D235*Inputs!$E$5+ABS((D235-1))*(1-Inputs!$E$5))</f>
        <v>0.65</v>
      </c>
      <c r="N235">
        <f>(E235*Inputs!$E$6+ABS((E235-1))*(1-Inputs!$E$6))</f>
        <v>0.4</v>
      </c>
      <c r="O235">
        <f>(F235*Inputs!$E$7+ABS((F235-1))*(1-Inputs!$E$7))</f>
        <v>0.25</v>
      </c>
      <c r="P235">
        <f>(G235*Inputs!$E$8+ABS((G235-1))*(1-Inputs!$E$8))</f>
        <v>0.4</v>
      </c>
      <c r="Q235">
        <f>(H235*Inputs!$E$9+ABS((H235-1))*(1-Inputs!$E$9))</f>
        <v>0.35</v>
      </c>
      <c r="R235">
        <f t="shared" si="27"/>
        <v>1.3456624999999998E-3</v>
      </c>
      <c r="T235">
        <f>Inputs!$I$2*A235*Inputs!$G$2</f>
        <v>0.52958847736625514</v>
      </c>
      <c r="U235">
        <f>Inputs!$I$3*B235*Inputs!$G$3</f>
        <v>0</v>
      </c>
      <c r="V235">
        <f>Inputs!$I$4*C235*Inputs!$G$4</f>
        <v>0.1422264291528948</v>
      </c>
      <c r="W235">
        <f>Inputs!$I$5*D235*Inputs!$G$5</f>
        <v>0.20551679322687164</v>
      </c>
      <c r="X235">
        <f>Inputs!$I$6*E235*Inputs!$G$6</f>
        <v>0</v>
      </c>
      <c r="Y235">
        <f>Inputs!$I$7*F235*Inputs!$G$7</f>
        <v>0</v>
      </c>
      <c r="Z235">
        <f>Inputs!$I$8*G235*Inputs!$G$8</f>
        <v>0</v>
      </c>
      <c r="AA235">
        <f>Inputs!$I$9*H235*Inputs!$G$9</f>
        <v>0</v>
      </c>
      <c r="AB235">
        <f t="shared" si="32"/>
        <v>0.87733169974602154</v>
      </c>
      <c r="AD235">
        <f>Inputs!$I$2*ABS(A235-1)*Inputs!$H$2</f>
        <v>0</v>
      </c>
      <c r="AE235">
        <f>Inputs!$I$3*ABS(B235-1)*Inputs!$H$3</f>
        <v>1.1405796839520112E-2</v>
      </c>
      <c r="AF235">
        <f>Inputs!$I$4*ABS(C235-1)*Inputs!$H$4</f>
        <v>0</v>
      </c>
      <c r="AG235">
        <f>Inputs!$I$5*ABS(D235-1)*Inputs!$H$5</f>
        <v>0</v>
      </c>
      <c r="AH235">
        <f>Inputs!$I$6*ABS(E235-1)*Inputs!$H$6</f>
        <v>6.4042485034184693E-2</v>
      </c>
      <c r="AI235">
        <f>Inputs!$I$7*ABS(F235-1)*Inputs!$H$7</f>
        <v>1.49493001411365E-2</v>
      </c>
      <c r="AJ235">
        <f>Inputs!$I$8*ABS(G235-1)*Inputs!$H$8</f>
        <v>5.8391635937893226E-2</v>
      </c>
      <c r="AK235">
        <f>Inputs!$I$9*ABS(H235-1)*Inputs!$H$9</f>
        <v>1.3048927592764261E-2</v>
      </c>
      <c r="AL235">
        <f t="shared" si="28"/>
        <v>-0.1618381455454988</v>
      </c>
      <c r="AN235" s="1">
        <f t="shared" si="29"/>
        <v>0.71549355420052274</v>
      </c>
      <c r="AO235">
        <f t="shared" si="33"/>
        <v>9.6281284487936076E-4</v>
      </c>
      <c r="AP235">
        <f t="shared" si="34"/>
        <v>9.566108379734428E-4</v>
      </c>
      <c r="AQ235" s="26">
        <f t="shared" si="30"/>
        <v>1.0007265189497967</v>
      </c>
      <c r="AR235">
        <f t="shared" si="31"/>
        <v>-2.1777952353011976E-4</v>
      </c>
    </row>
    <row r="236" spans="1:44" x14ac:dyDescent="0.25">
      <c r="A236">
        <v>1</v>
      </c>
      <c r="B236">
        <v>0</v>
      </c>
      <c r="C236">
        <v>1</v>
      </c>
      <c r="D236">
        <v>0</v>
      </c>
      <c r="E236">
        <v>1</v>
      </c>
      <c r="F236">
        <v>0</v>
      </c>
      <c r="G236">
        <v>0</v>
      </c>
      <c r="H236">
        <v>0</v>
      </c>
      <c r="J236">
        <f>(A236*Inputs!$E$2+ABS((A236-1))*(1-Inputs!$E$2))</f>
        <v>0.65</v>
      </c>
      <c r="K236">
        <f>(B236*Inputs!$E$3+ABS((B236-1))*(1-Inputs!$E$3))</f>
        <v>0.35</v>
      </c>
      <c r="L236">
        <f>(C236*Inputs!$E$4+ABS((C236-1))*(1-Inputs!$E$4))</f>
        <v>0.65</v>
      </c>
      <c r="M236">
        <f>(D236*Inputs!$E$5+ABS((D236-1))*(1-Inputs!$E$5))</f>
        <v>0.35</v>
      </c>
      <c r="N236">
        <f>(E236*Inputs!$E$6+ABS((E236-1))*(1-Inputs!$E$6))</f>
        <v>0.6</v>
      </c>
      <c r="O236">
        <f>(F236*Inputs!$E$7+ABS((F236-1))*(1-Inputs!$E$7))</f>
        <v>0.25</v>
      </c>
      <c r="P236">
        <f>(G236*Inputs!$E$8+ABS((G236-1))*(1-Inputs!$E$8))</f>
        <v>0.4</v>
      </c>
      <c r="Q236">
        <f>(H236*Inputs!$E$9+ABS((H236-1))*(1-Inputs!$E$9))</f>
        <v>0.35</v>
      </c>
      <c r="R236">
        <f t="shared" si="27"/>
        <v>1.0868812499999997E-3</v>
      </c>
      <c r="T236">
        <f>Inputs!$I$2*A236*Inputs!$G$2</f>
        <v>0.52958847736625514</v>
      </c>
      <c r="U236">
        <f>Inputs!$I$3*B236*Inputs!$G$3</f>
        <v>0</v>
      </c>
      <c r="V236">
        <f>Inputs!$I$4*C236*Inputs!$G$4</f>
        <v>0.1422264291528948</v>
      </c>
      <c r="W236">
        <f>Inputs!$I$5*D236*Inputs!$G$5</f>
        <v>0</v>
      </c>
      <c r="X236">
        <f>Inputs!$I$6*E236*Inputs!$G$6</f>
        <v>0.37656981200100598</v>
      </c>
      <c r="Y236">
        <f>Inputs!$I$7*F236*Inputs!$G$7</f>
        <v>0</v>
      </c>
      <c r="Z236">
        <f>Inputs!$I$8*G236*Inputs!$G$8</f>
        <v>0</v>
      </c>
      <c r="AA236">
        <f>Inputs!$I$9*H236*Inputs!$G$9</f>
        <v>0</v>
      </c>
      <c r="AB236">
        <f t="shared" si="32"/>
        <v>1.0483847185201558</v>
      </c>
      <c r="AD236">
        <f>Inputs!$I$2*ABS(A236-1)*Inputs!$H$2</f>
        <v>0</v>
      </c>
      <c r="AE236">
        <f>Inputs!$I$3*ABS(B236-1)*Inputs!$H$3</f>
        <v>1.1405796839520112E-2</v>
      </c>
      <c r="AF236">
        <f>Inputs!$I$4*ABS(C236-1)*Inputs!$H$4</f>
        <v>0</v>
      </c>
      <c r="AG236">
        <f>Inputs!$I$5*ABS(D236-1)*Inputs!$H$5</f>
        <v>3.0032539984442563E-2</v>
      </c>
      <c r="AH236">
        <f>Inputs!$I$6*ABS(E236-1)*Inputs!$H$6</f>
        <v>0</v>
      </c>
      <c r="AI236">
        <f>Inputs!$I$7*ABS(F236-1)*Inputs!$H$7</f>
        <v>1.49493001411365E-2</v>
      </c>
      <c r="AJ236">
        <f>Inputs!$I$8*ABS(G236-1)*Inputs!$H$8</f>
        <v>5.8391635937893226E-2</v>
      </c>
      <c r="AK236">
        <f>Inputs!$I$9*ABS(H236-1)*Inputs!$H$9</f>
        <v>1.3048927592764261E-2</v>
      </c>
      <c r="AL236">
        <f t="shared" si="28"/>
        <v>-0.12782820049575666</v>
      </c>
      <c r="AN236" s="1">
        <f t="shared" si="29"/>
        <v>0.92055651802439908</v>
      </c>
      <c r="AO236">
        <f t="shared" si="33"/>
        <v>1.0005356190060061E-3</v>
      </c>
      <c r="AP236">
        <f t="shared" si="34"/>
        <v>4.4251501333222534E-4</v>
      </c>
      <c r="AQ236" s="26">
        <f t="shared" si="30"/>
        <v>1.0007095666272789</v>
      </c>
      <c r="AR236">
        <f t="shared" si="31"/>
        <v>-1.3893407434007859E-4</v>
      </c>
    </row>
    <row r="237" spans="1:44" x14ac:dyDescent="0.25">
      <c r="A237">
        <v>1</v>
      </c>
      <c r="B237">
        <v>0</v>
      </c>
      <c r="C237">
        <v>1</v>
      </c>
      <c r="D237">
        <v>0</v>
      </c>
      <c r="E237">
        <v>0</v>
      </c>
      <c r="F237">
        <v>0</v>
      </c>
      <c r="G237">
        <v>0</v>
      </c>
      <c r="H237">
        <v>0</v>
      </c>
      <c r="J237">
        <f>(A237*Inputs!$E$2+ABS((A237-1))*(1-Inputs!$E$2))</f>
        <v>0.65</v>
      </c>
      <c r="K237">
        <f>(B237*Inputs!$E$3+ABS((B237-1))*(1-Inputs!$E$3))</f>
        <v>0.35</v>
      </c>
      <c r="L237">
        <f>(C237*Inputs!$E$4+ABS((C237-1))*(1-Inputs!$E$4))</f>
        <v>0.65</v>
      </c>
      <c r="M237">
        <f>(D237*Inputs!$E$5+ABS((D237-1))*(1-Inputs!$E$5))</f>
        <v>0.35</v>
      </c>
      <c r="N237">
        <f>(E237*Inputs!$E$6+ABS((E237-1))*(1-Inputs!$E$6))</f>
        <v>0.4</v>
      </c>
      <c r="O237">
        <f>(F237*Inputs!$E$7+ABS((F237-1))*(1-Inputs!$E$7))</f>
        <v>0.25</v>
      </c>
      <c r="P237">
        <f>(G237*Inputs!$E$8+ABS((G237-1))*(1-Inputs!$E$8))</f>
        <v>0.4</v>
      </c>
      <c r="Q237">
        <f>(H237*Inputs!$E$9+ABS((H237-1))*(1-Inputs!$E$9))</f>
        <v>0.35</v>
      </c>
      <c r="R237">
        <f t="shared" si="27"/>
        <v>7.2458750000000001E-4</v>
      </c>
      <c r="T237">
        <f>Inputs!$I$2*A237*Inputs!$G$2</f>
        <v>0.52958847736625514</v>
      </c>
      <c r="U237">
        <f>Inputs!$I$3*B237*Inputs!$G$3</f>
        <v>0</v>
      </c>
      <c r="V237">
        <f>Inputs!$I$4*C237*Inputs!$G$4</f>
        <v>0.1422264291528948</v>
      </c>
      <c r="W237">
        <f>Inputs!$I$5*D237*Inputs!$G$5</f>
        <v>0</v>
      </c>
      <c r="X237">
        <f>Inputs!$I$6*E237*Inputs!$G$6</f>
        <v>0</v>
      </c>
      <c r="Y237">
        <f>Inputs!$I$7*F237*Inputs!$G$7</f>
        <v>0</v>
      </c>
      <c r="Z237">
        <f>Inputs!$I$8*G237*Inputs!$G$8</f>
        <v>0</v>
      </c>
      <c r="AA237">
        <f>Inputs!$I$9*H237*Inputs!$G$9</f>
        <v>0</v>
      </c>
      <c r="AB237">
        <f t="shared" si="32"/>
        <v>0.67181490651914988</v>
      </c>
      <c r="AD237">
        <f>Inputs!$I$2*ABS(A237-1)*Inputs!$H$2</f>
        <v>0</v>
      </c>
      <c r="AE237">
        <f>Inputs!$I$3*ABS(B237-1)*Inputs!$H$3</f>
        <v>1.1405796839520112E-2</v>
      </c>
      <c r="AF237">
        <f>Inputs!$I$4*ABS(C237-1)*Inputs!$H$4</f>
        <v>0</v>
      </c>
      <c r="AG237">
        <f>Inputs!$I$5*ABS(D237-1)*Inputs!$H$5</f>
        <v>3.0032539984442563E-2</v>
      </c>
      <c r="AH237">
        <f>Inputs!$I$6*ABS(E237-1)*Inputs!$H$6</f>
        <v>6.4042485034184693E-2</v>
      </c>
      <c r="AI237">
        <f>Inputs!$I$7*ABS(F237-1)*Inputs!$H$7</f>
        <v>1.49493001411365E-2</v>
      </c>
      <c r="AJ237">
        <f>Inputs!$I$8*ABS(G237-1)*Inputs!$H$8</f>
        <v>5.8391635937893226E-2</v>
      </c>
      <c r="AK237">
        <f>Inputs!$I$9*ABS(H237-1)*Inputs!$H$9</f>
        <v>1.3048927592764261E-2</v>
      </c>
      <c r="AL237">
        <f t="shared" si="28"/>
        <v>-0.19187068552994135</v>
      </c>
      <c r="AN237" s="1">
        <f t="shared" si="29"/>
        <v>0.47994422098920853</v>
      </c>
      <c r="AO237">
        <f t="shared" si="33"/>
        <v>3.4776158322601813E-4</v>
      </c>
      <c r="AP237">
        <f t="shared" si="34"/>
        <v>8.4310840423624167E-4</v>
      </c>
      <c r="AQ237" s="26">
        <f t="shared" si="30"/>
        <v>1.0002840818307335</v>
      </c>
      <c r="AR237">
        <f t="shared" si="31"/>
        <v>-1.390271003514264E-4</v>
      </c>
    </row>
    <row r="238" spans="1:44" x14ac:dyDescent="0.25">
      <c r="A238">
        <v>1</v>
      </c>
      <c r="B238">
        <v>0</v>
      </c>
      <c r="C238">
        <v>0</v>
      </c>
      <c r="D238">
        <v>1</v>
      </c>
      <c r="E238">
        <v>1</v>
      </c>
      <c r="F238">
        <v>0</v>
      </c>
      <c r="G238">
        <v>0</v>
      </c>
      <c r="H238">
        <v>0</v>
      </c>
      <c r="J238">
        <f>(A238*Inputs!$E$2+ABS((A238-1))*(1-Inputs!$E$2))</f>
        <v>0.65</v>
      </c>
      <c r="K238">
        <f>(B238*Inputs!$E$3+ABS((B238-1))*(1-Inputs!$E$3))</f>
        <v>0.35</v>
      </c>
      <c r="L238">
        <f>(C238*Inputs!$E$4+ABS((C238-1))*(1-Inputs!$E$4))</f>
        <v>0.35</v>
      </c>
      <c r="M238">
        <f>(D238*Inputs!$E$5+ABS((D238-1))*(1-Inputs!$E$5))</f>
        <v>0.65</v>
      </c>
      <c r="N238">
        <f>(E238*Inputs!$E$6+ABS((E238-1))*(1-Inputs!$E$6))</f>
        <v>0.6</v>
      </c>
      <c r="O238">
        <f>(F238*Inputs!$E$7+ABS((F238-1))*(1-Inputs!$E$7))</f>
        <v>0.25</v>
      </c>
      <c r="P238">
        <f>(G238*Inputs!$E$8+ABS((G238-1))*(1-Inputs!$E$8))</f>
        <v>0.4</v>
      </c>
      <c r="Q238">
        <f>(H238*Inputs!$E$9+ABS((H238-1))*(1-Inputs!$E$9))</f>
        <v>0.35</v>
      </c>
      <c r="R238">
        <f t="shared" si="27"/>
        <v>1.0868812499999999E-3</v>
      </c>
      <c r="T238">
        <f>Inputs!$I$2*A238*Inputs!$G$2</f>
        <v>0.52958847736625514</v>
      </c>
      <c r="U238">
        <f>Inputs!$I$3*B238*Inputs!$G$3</f>
        <v>0</v>
      </c>
      <c r="V238">
        <f>Inputs!$I$4*C238*Inputs!$G$4</f>
        <v>0</v>
      </c>
      <c r="W238">
        <f>Inputs!$I$5*D238*Inputs!$G$5</f>
        <v>0.20551679322687164</v>
      </c>
      <c r="X238">
        <f>Inputs!$I$6*E238*Inputs!$G$6</f>
        <v>0.37656981200100598</v>
      </c>
      <c r="Y238">
        <f>Inputs!$I$7*F238*Inputs!$G$7</f>
        <v>0</v>
      </c>
      <c r="Z238">
        <f>Inputs!$I$8*G238*Inputs!$G$8</f>
        <v>0</v>
      </c>
      <c r="AA238">
        <f>Inputs!$I$9*H238*Inputs!$G$9</f>
        <v>0</v>
      </c>
      <c r="AB238">
        <f t="shared" si="32"/>
        <v>1.1116750825941328</v>
      </c>
      <c r="AD238">
        <f>Inputs!$I$2*ABS(A238-1)*Inputs!$H$2</f>
        <v>0</v>
      </c>
      <c r="AE238">
        <f>Inputs!$I$3*ABS(B238-1)*Inputs!$H$3</f>
        <v>1.1405796839520112E-2</v>
      </c>
      <c r="AF238">
        <f>Inputs!$I$4*ABS(C238-1)*Inputs!$H$4</f>
        <v>8.9678988679000853E-3</v>
      </c>
      <c r="AG238">
        <f>Inputs!$I$5*ABS(D238-1)*Inputs!$H$5</f>
        <v>0</v>
      </c>
      <c r="AH238">
        <f>Inputs!$I$6*ABS(E238-1)*Inputs!$H$6</f>
        <v>0</v>
      </c>
      <c r="AI238">
        <f>Inputs!$I$7*ABS(F238-1)*Inputs!$H$7</f>
        <v>1.49493001411365E-2</v>
      </c>
      <c r="AJ238">
        <f>Inputs!$I$8*ABS(G238-1)*Inputs!$H$8</f>
        <v>5.8391635937893226E-2</v>
      </c>
      <c r="AK238">
        <f>Inputs!$I$9*ABS(H238-1)*Inputs!$H$9</f>
        <v>1.3048927592764261E-2</v>
      </c>
      <c r="AL238">
        <f t="shared" si="28"/>
        <v>-0.10676355937921418</v>
      </c>
      <c r="AN238" s="1">
        <f t="shared" si="29"/>
        <v>1.0049115232149186</v>
      </c>
      <c r="AO238">
        <f t="shared" si="33"/>
        <v>1.0922194924912346E-3</v>
      </c>
      <c r="AP238">
        <f t="shared" si="34"/>
        <v>3.3324630114933701E-4</v>
      </c>
      <c r="AQ238" s="26">
        <f t="shared" si="30"/>
        <v>1.0007563203894168</v>
      </c>
      <c r="AR238">
        <f t="shared" si="31"/>
        <v>-1.1603931087252952E-4</v>
      </c>
    </row>
    <row r="239" spans="1:44" x14ac:dyDescent="0.25">
      <c r="A239">
        <v>1</v>
      </c>
      <c r="B239">
        <v>0</v>
      </c>
      <c r="C239">
        <v>0</v>
      </c>
      <c r="D239">
        <v>1</v>
      </c>
      <c r="E239">
        <v>0</v>
      </c>
      <c r="F239">
        <v>0</v>
      </c>
      <c r="G239">
        <v>0</v>
      </c>
      <c r="H239">
        <v>0</v>
      </c>
      <c r="J239">
        <f>(A239*Inputs!$E$2+ABS((A239-1))*(1-Inputs!$E$2))</f>
        <v>0.65</v>
      </c>
      <c r="K239">
        <f>(B239*Inputs!$E$3+ABS((B239-1))*(1-Inputs!$E$3))</f>
        <v>0.35</v>
      </c>
      <c r="L239">
        <f>(C239*Inputs!$E$4+ABS((C239-1))*(1-Inputs!$E$4))</f>
        <v>0.35</v>
      </c>
      <c r="M239">
        <f>(D239*Inputs!$E$5+ABS((D239-1))*(1-Inputs!$E$5))</f>
        <v>0.65</v>
      </c>
      <c r="N239">
        <f>(E239*Inputs!$E$6+ABS((E239-1))*(1-Inputs!$E$6))</f>
        <v>0.4</v>
      </c>
      <c r="O239">
        <f>(F239*Inputs!$E$7+ABS((F239-1))*(1-Inputs!$E$7))</f>
        <v>0.25</v>
      </c>
      <c r="P239">
        <f>(G239*Inputs!$E$8+ABS((G239-1))*(1-Inputs!$E$8))</f>
        <v>0.4</v>
      </c>
      <c r="Q239">
        <f>(H239*Inputs!$E$9+ABS((H239-1))*(1-Inputs!$E$9))</f>
        <v>0.35</v>
      </c>
      <c r="R239">
        <f t="shared" si="27"/>
        <v>7.2458750000000001E-4</v>
      </c>
      <c r="T239">
        <f>Inputs!$I$2*A239*Inputs!$G$2</f>
        <v>0.52958847736625514</v>
      </c>
      <c r="U239">
        <f>Inputs!$I$3*B239*Inputs!$G$3</f>
        <v>0</v>
      </c>
      <c r="V239">
        <f>Inputs!$I$4*C239*Inputs!$G$4</f>
        <v>0</v>
      </c>
      <c r="W239">
        <f>Inputs!$I$5*D239*Inputs!$G$5</f>
        <v>0.20551679322687164</v>
      </c>
      <c r="X239">
        <f>Inputs!$I$6*E239*Inputs!$G$6</f>
        <v>0</v>
      </c>
      <c r="Y239">
        <f>Inputs!$I$7*F239*Inputs!$G$7</f>
        <v>0</v>
      </c>
      <c r="Z239">
        <f>Inputs!$I$8*G239*Inputs!$G$8</f>
        <v>0</v>
      </c>
      <c r="AA239">
        <f>Inputs!$I$9*H239*Inputs!$G$9</f>
        <v>0</v>
      </c>
      <c r="AB239">
        <f t="shared" si="32"/>
        <v>0.7351052705931268</v>
      </c>
      <c r="AD239">
        <f>Inputs!$I$2*ABS(A239-1)*Inputs!$H$2</f>
        <v>0</v>
      </c>
      <c r="AE239">
        <f>Inputs!$I$3*ABS(B239-1)*Inputs!$H$3</f>
        <v>1.1405796839520112E-2</v>
      </c>
      <c r="AF239">
        <f>Inputs!$I$4*ABS(C239-1)*Inputs!$H$4</f>
        <v>8.9678988679000853E-3</v>
      </c>
      <c r="AG239">
        <f>Inputs!$I$5*ABS(D239-1)*Inputs!$H$5</f>
        <v>0</v>
      </c>
      <c r="AH239">
        <f>Inputs!$I$6*ABS(E239-1)*Inputs!$H$6</f>
        <v>6.4042485034184693E-2</v>
      </c>
      <c r="AI239">
        <f>Inputs!$I$7*ABS(F239-1)*Inputs!$H$7</f>
        <v>1.49493001411365E-2</v>
      </c>
      <c r="AJ239">
        <f>Inputs!$I$8*ABS(G239-1)*Inputs!$H$8</f>
        <v>5.8391635937893226E-2</v>
      </c>
      <c r="AK239">
        <f>Inputs!$I$9*ABS(H239-1)*Inputs!$H$9</f>
        <v>1.3048927592764261E-2</v>
      </c>
      <c r="AL239">
        <f t="shared" si="28"/>
        <v>-0.17080604441339889</v>
      </c>
      <c r="AN239" s="1">
        <f t="shared" si="29"/>
        <v>0.56429922617972794</v>
      </c>
      <c r="AO239">
        <f t="shared" si="33"/>
        <v>4.0888416554950361E-4</v>
      </c>
      <c r="AP239">
        <f t="shared" si="34"/>
        <v>7.1639987331776895E-4</v>
      </c>
      <c r="AQ239" s="26">
        <f t="shared" si="30"/>
        <v>1.0003242605029825</v>
      </c>
      <c r="AR239">
        <f t="shared" si="31"/>
        <v>-1.2376392470639367E-4</v>
      </c>
    </row>
    <row r="240" spans="1:44" x14ac:dyDescent="0.25">
      <c r="A240">
        <v>1</v>
      </c>
      <c r="B240">
        <v>0</v>
      </c>
      <c r="C240">
        <v>0</v>
      </c>
      <c r="D240">
        <v>0</v>
      </c>
      <c r="E240">
        <v>1</v>
      </c>
      <c r="F240">
        <v>0</v>
      </c>
      <c r="G240">
        <v>0</v>
      </c>
      <c r="H240">
        <v>0</v>
      </c>
      <c r="J240">
        <f>(A240*Inputs!$E$2+ABS((A240-1))*(1-Inputs!$E$2))</f>
        <v>0.65</v>
      </c>
      <c r="K240">
        <f>(B240*Inputs!$E$3+ABS((B240-1))*(1-Inputs!$E$3))</f>
        <v>0.35</v>
      </c>
      <c r="L240">
        <f>(C240*Inputs!$E$4+ABS((C240-1))*(1-Inputs!$E$4))</f>
        <v>0.35</v>
      </c>
      <c r="M240">
        <f>(D240*Inputs!$E$5+ABS((D240-1))*(1-Inputs!$E$5))</f>
        <v>0.35</v>
      </c>
      <c r="N240">
        <f>(E240*Inputs!$E$6+ABS((E240-1))*(1-Inputs!$E$6))</f>
        <v>0.6</v>
      </c>
      <c r="O240">
        <f>(F240*Inputs!$E$7+ABS((F240-1))*(1-Inputs!$E$7))</f>
        <v>0.25</v>
      </c>
      <c r="P240">
        <f>(G240*Inputs!$E$8+ABS((G240-1))*(1-Inputs!$E$8))</f>
        <v>0.4</v>
      </c>
      <c r="Q240">
        <f>(H240*Inputs!$E$9+ABS((H240-1))*(1-Inputs!$E$9))</f>
        <v>0.35</v>
      </c>
      <c r="R240">
        <f t="shared" si="27"/>
        <v>5.8524374999999987E-4</v>
      </c>
      <c r="T240">
        <f>Inputs!$I$2*A240*Inputs!$G$2</f>
        <v>0.52958847736625514</v>
      </c>
      <c r="U240">
        <f>Inputs!$I$3*B240*Inputs!$G$3</f>
        <v>0</v>
      </c>
      <c r="V240">
        <f>Inputs!$I$4*C240*Inputs!$G$4</f>
        <v>0</v>
      </c>
      <c r="W240">
        <f>Inputs!$I$5*D240*Inputs!$G$5</f>
        <v>0</v>
      </c>
      <c r="X240">
        <f>Inputs!$I$6*E240*Inputs!$G$6</f>
        <v>0.37656981200100598</v>
      </c>
      <c r="Y240">
        <f>Inputs!$I$7*F240*Inputs!$G$7</f>
        <v>0</v>
      </c>
      <c r="Z240">
        <f>Inputs!$I$8*G240*Inputs!$G$8</f>
        <v>0</v>
      </c>
      <c r="AA240">
        <f>Inputs!$I$9*H240*Inputs!$G$9</f>
        <v>0</v>
      </c>
      <c r="AB240">
        <f t="shared" si="32"/>
        <v>0.90615828936726106</v>
      </c>
      <c r="AD240">
        <f>Inputs!$I$2*ABS(A240-1)*Inputs!$H$2</f>
        <v>0</v>
      </c>
      <c r="AE240">
        <f>Inputs!$I$3*ABS(B240-1)*Inputs!$H$3</f>
        <v>1.1405796839520112E-2</v>
      </c>
      <c r="AF240">
        <f>Inputs!$I$4*ABS(C240-1)*Inputs!$H$4</f>
        <v>8.9678988679000853E-3</v>
      </c>
      <c r="AG240">
        <f>Inputs!$I$5*ABS(D240-1)*Inputs!$H$5</f>
        <v>3.0032539984442563E-2</v>
      </c>
      <c r="AH240">
        <f>Inputs!$I$6*ABS(E240-1)*Inputs!$H$6</f>
        <v>0</v>
      </c>
      <c r="AI240">
        <f>Inputs!$I$7*ABS(F240-1)*Inputs!$H$7</f>
        <v>1.49493001411365E-2</v>
      </c>
      <c r="AJ240">
        <f>Inputs!$I$8*ABS(G240-1)*Inputs!$H$8</f>
        <v>5.8391635937893226E-2</v>
      </c>
      <c r="AK240">
        <f>Inputs!$I$9*ABS(H240-1)*Inputs!$H$9</f>
        <v>1.3048927592764261E-2</v>
      </c>
      <c r="AL240">
        <f t="shared" si="28"/>
        <v>-0.13679609936365675</v>
      </c>
      <c r="AN240" s="1">
        <f t="shared" si="29"/>
        <v>0.76936219000360428</v>
      </c>
      <c r="AO240">
        <f t="shared" si="33"/>
        <v>4.5026441318592181E-4</v>
      </c>
      <c r="AP240">
        <f t="shared" si="34"/>
        <v>3.6457696121635925E-4</v>
      </c>
      <c r="AQ240" s="26">
        <f t="shared" si="30"/>
        <v>1.0003340070515063</v>
      </c>
      <c r="AR240">
        <f t="shared" si="31"/>
        <v>-8.0059062176959071E-5</v>
      </c>
    </row>
    <row r="241" spans="1:44" x14ac:dyDescent="0.25">
      <c r="A241">
        <v>1</v>
      </c>
      <c r="B241">
        <v>0</v>
      </c>
      <c r="C241">
        <v>0</v>
      </c>
      <c r="D241">
        <v>0</v>
      </c>
      <c r="E241">
        <v>0</v>
      </c>
      <c r="F241">
        <v>0</v>
      </c>
      <c r="G241">
        <v>0</v>
      </c>
      <c r="H241">
        <v>0</v>
      </c>
      <c r="J241">
        <f>(A241*Inputs!$E$2+ABS((A241-1))*(1-Inputs!$E$2))</f>
        <v>0.65</v>
      </c>
      <c r="K241">
        <f>(B241*Inputs!$E$3+ABS((B241-1))*(1-Inputs!$E$3))</f>
        <v>0.35</v>
      </c>
      <c r="L241">
        <f>(C241*Inputs!$E$4+ABS((C241-1))*(1-Inputs!$E$4))</f>
        <v>0.35</v>
      </c>
      <c r="M241">
        <f>(D241*Inputs!$E$5+ABS((D241-1))*(1-Inputs!$E$5))</f>
        <v>0.35</v>
      </c>
      <c r="N241">
        <f>(E241*Inputs!$E$6+ABS((E241-1))*(1-Inputs!$E$6))</f>
        <v>0.4</v>
      </c>
      <c r="O241">
        <f>(F241*Inputs!$E$7+ABS((F241-1))*(1-Inputs!$E$7))</f>
        <v>0.25</v>
      </c>
      <c r="P241">
        <f>(G241*Inputs!$E$8+ABS((G241-1))*(1-Inputs!$E$8))</f>
        <v>0.4</v>
      </c>
      <c r="Q241">
        <f>(H241*Inputs!$E$9+ABS((H241-1))*(1-Inputs!$E$9))</f>
        <v>0.35</v>
      </c>
      <c r="R241">
        <f t="shared" si="27"/>
        <v>3.9016249999999995E-4</v>
      </c>
      <c r="T241">
        <f>Inputs!$I$2*A241*Inputs!$G$2</f>
        <v>0.52958847736625514</v>
      </c>
      <c r="U241">
        <f>Inputs!$I$3*B241*Inputs!$G$3</f>
        <v>0</v>
      </c>
      <c r="V241">
        <f>Inputs!$I$4*C241*Inputs!$G$4</f>
        <v>0</v>
      </c>
      <c r="W241">
        <f>Inputs!$I$5*D241*Inputs!$G$5</f>
        <v>0</v>
      </c>
      <c r="X241">
        <f>Inputs!$I$6*E241*Inputs!$G$6</f>
        <v>0</v>
      </c>
      <c r="Y241">
        <f>Inputs!$I$7*F241*Inputs!$G$7</f>
        <v>0</v>
      </c>
      <c r="Z241">
        <f>Inputs!$I$8*G241*Inputs!$G$8</f>
        <v>0</v>
      </c>
      <c r="AA241">
        <f>Inputs!$I$9*H241*Inputs!$G$9</f>
        <v>0</v>
      </c>
      <c r="AB241">
        <f t="shared" si="32"/>
        <v>0.52958847736625514</v>
      </c>
      <c r="AD241">
        <f>Inputs!$I$2*ABS(A241-1)*Inputs!$H$2</f>
        <v>0</v>
      </c>
      <c r="AE241">
        <f>Inputs!$I$3*ABS(B241-1)*Inputs!$H$3</f>
        <v>1.1405796839520112E-2</v>
      </c>
      <c r="AF241">
        <f>Inputs!$I$4*ABS(C241-1)*Inputs!$H$4</f>
        <v>8.9678988679000853E-3</v>
      </c>
      <c r="AG241">
        <f>Inputs!$I$5*ABS(D241-1)*Inputs!$H$5</f>
        <v>3.0032539984442563E-2</v>
      </c>
      <c r="AH241">
        <f>Inputs!$I$6*ABS(E241-1)*Inputs!$H$6</f>
        <v>6.4042485034184693E-2</v>
      </c>
      <c r="AI241">
        <f>Inputs!$I$7*ABS(F241-1)*Inputs!$H$7</f>
        <v>1.49493001411365E-2</v>
      </c>
      <c r="AJ241">
        <f>Inputs!$I$8*ABS(G241-1)*Inputs!$H$8</f>
        <v>5.8391635937893226E-2</v>
      </c>
      <c r="AK241">
        <f>Inputs!$I$9*ABS(H241-1)*Inputs!$H$9</f>
        <v>1.3048927592764261E-2</v>
      </c>
      <c r="AL241">
        <f t="shared" si="28"/>
        <v>-0.20083858439784144</v>
      </c>
      <c r="AN241" s="1">
        <f t="shared" si="29"/>
        <v>0.32874989296841373</v>
      </c>
      <c r="AO241">
        <f t="shared" si="33"/>
        <v>1.2826588011528869E-4</v>
      </c>
      <c r="AP241">
        <f t="shared" si="34"/>
        <v>5.9016496607205006E-4</v>
      </c>
      <c r="AQ241" s="26">
        <f t="shared" si="30"/>
        <v>1.0001109053806629</v>
      </c>
      <c r="AR241">
        <f t="shared" si="31"/>
        <v>-7.8359684185122795E-5</v>
      </c>
    </row>
    <row r="242" spans="1:44" x14ac:dyDescent="0.25">
      <c r="A242">
        <v>0</v>
      </c>
      <c r="B242">
        <v>1</v>
      </c>
      <c r="C242">
        <v>1</v>
      </c>
      <c r="D242">
        <v>1</v>
      </c>
      <c r="E242">
        <v>1</v>
      </c>
      <c r="F242">
        <v>0</v>
      </c>
      <c r="G242">
        <v>0</v>
      </c>
      <c r="H242">
        <v>0</v>
      </c>
      <c r="J242">
        <f>(A242*Inputs!$E$2+ABS((A242-1))*(1-Inputs!$E$2))</f>
        <v>0.35</v>
      </c>
      <c r="K242">
        <f>(B242*Inputs!$E$3+ABS((B242-1))*(1-Inputs!$E$3))</f>
        <v>0.65</v>
      </c>
      <c r="L242">
        <f>(C242*Inputs!$E$4+ABS((C242-1))*(1-Inputs!$E$4))</f>
        <v>0.65</v>
      </c>
      <c r="M242">
        <f>(D242*Inputs!$E$5+ABS((D242-1))*(1-Inputs!$E$5))</f>
        <v>0.65</v>
      </c>
      <c r="N242">
        <f>(E242*Inputs!$E$6+ABS((E242-1))*(1-Inputs!$E$6))</f>
        <v>0.6</v>
      </c>
      <c r="O242">
        <f>(F242*Inputs!$E$7+ABS((F242-1))*(1-Inputs!$E$7))</f>
        <v>0.25</v>
      </c>
      <c r="P242">
        <f>(G242*Inputs!$E$8+ABS((G242-1))*(1-Inputs!$E$8))</f>
        <v>0.4</v>
      </c>
      <c r="Q242">
        <f>(H242*Inputs!$E$9+ABS((H242-1))*(1-Inputs!$E$9))</f>
        <v>0.35</v>
      </c>
      <c r="R242">
        <f t="shared" si="27"/>
        <v>2.0184937499999997E-3</v>
      </c>
      <c r="T242">
        <f>Inputs!$I$2*A242*Inputs!$G$2</f>
        <v>0</v>
      </c>
      <c r="U242">
        <f>Inputs!$I$3*B242*Inputs!$G$3</f>
        <v>0.20645773829738062</v>
      </c>
      <c r="V242">
        <f>Inputs!$I$4*C242*Inputs!$G$4</f>
        <v>0.1422264291528948</v>
      </c>
      <c r="W242">
        <f>Inputs!$I$5*D242*Inputs!$G$5</f>
        <v>0.20551679322687164</v>
      </c>
      <c r="X242">
        <f>Inputs!$I$6*E242*Inputs!$G$6</f>
        <v>0.37656981200100598</v>
      </c>
      <c r="Y242">
        <f>Inputs!$I$7*F242*Inputs!$G$7</f>
        <v>0</v>
      </c>
      <c r="Z242">
        <f>Inputs!$I$8*G242*Inputs!$G$8</f>
        <v>0</v>
      </c>
      <c r="AA242">
        <f>Inputs!$I$9*H242*Inputs!$G$9</f>
        <v>0</v>
      </c>
      <c r="AB242">
        <f t="shared" si="32"/>
        <v>0.93077077267815311</v>
      </c>
      <c r="AD242">
        <f>Inputs!$I$2*ABS(A242-1)*Inputs!$H$2</f>
        <v>3.0082304526748989E-2</v>
      </c>
      <c r="AE242">
        <f>Inputs!$I$3*ABS(B242-1)*Inputs!$H$3</f>
        <v>0</v>
      </c>
      <c r="AF242">
        <f>Inputs!$I$4*ABS(C242-1)*Inputs!$H$4</f>
        <v>0</v>
      </c>
      <c r="AG242">
        <f>Inputs!$I$5*ABS(D242-1)*Inputs!$H$5</f>
        <v>0</v>
      </c>
      <c r="AH242">
        <f>Inputs!$I$6*ABS(E242-1)*Inputs!$H$6</f>
        <v>0</v>
      </c>
      <c r="AI242">
        <f>Inputs!$I$7*ABS(F242-1)*Inputs!$H$7</f>
        <v>1.49493001411365E-2</v>
      </c>
      <c r="AJ242">
        <f>Inputs!$I$8*ABS(G242-1)*Inputs!$H$8</f>
        <v>5.8391635937893226E-2</v>
      </c>
      <c r="AK242">
        <f>Inputs!$I$9*ABS(H242-1)*Inputs!$H$9</f>
        <v>1.3048927592764261E-2</v>
      </c>
      <c r="AL242">
        <f t="shared" si="28"/>
        <v>-0.11647216819854296</v>
      </c>
      <c r="AN242" s="1">
        <f t="shared" si="29"/>
        <v>0.81429860447961011</v>
      </c>
      <c r="AO242">
        <f t="shared" si="33"/>
        <v>1.6436566437758148E-3</v>
      </c>
      <c r="AP242">
        <f t="shared" si="34"/>
        <v>1.1183145107041136E-3</v>
      </c>
      <c r="AQ242" s="26">
        <f t="shared" si="30"/>
        <v>1.0012031377961439</v>
      </c>
      <c r="AR242">
        <f t="shared" si="31"/>
        <v>-2.3509834355770769E-4</v>
      </c>
    </row>
    <row r="243" spans="1:44" x14ac:dyDescent="0.25">
      <c r="A243">
        <v>0</v>
      </c>
      <c r="B243">
        <v>1</v>
      </c>
      <c r="C243">
        <v>1</v>
      </c>
      <c r="D243">
        <v>1</v>
      </c>
      <c r="E243">
        <v>0</v>
      </c>
      <c r="F243">
        <v>0</v>
      </c>
      <c r="G243">
        <v>0</v>
      </c>
      <c r="H243">
        <v>0</v>
      </c>
      <c r="J243">
        <f>(A243*Inputs!$E$2+ABS((A243-1))*(1-Inputs!$E$2))</f>
        <v>0.35</v>
      </c>
      <c r="K243">
        <f>(B243*Inputs!$E$3+ABS((B243-1))*(1-Inputs!$E$3))</f>
        <v>0.65</v>
      </c>
      <c r="L243">
        <f>(C243*Inputs!$E$4+ABS((C243-1))*(1-Inputs!$E$4))</f>
        <v>0.65</v>
      </c>
      <c r="M243">
        <f>(D243*Inputs!$E$5+ABS((D243-1))*(1-Inputs!$E$5))</f>
        <v>0.65</v>
      </c>
      <c r="N243">
        <f>(E243*Inputs!$E$6+ABS((E243-1))*(1-Inputs!$E$6))</f>
        <v>0.4</v>
      </c>
      <c r="O243">
        <f>(F243*Inputs!$E$7+ABS((F243-1))*(1-Inputs!$E$7))</f>
        <v>0.25</v>
      </c>
      <c r="P243">
        <f>(G243*Inputs!$E$8+ABS((G243-1))*(1-Inputs!$E$8))</f>
        <v>0.4</v>
      </c>
      <c r="Q243">
        <f>(H243*Inputs!$E$9+ABS((H243-1))*(1-Inputs!$E$9))</f>
        <v>0.35</v>
      </c>
      <c r="R243">
        <f t="shared" si="27"/>
        <v>1.3456624999999998E-3</v>
      </c>
      <c r="T243">
        <f>Inputs!$I$2*A243*Inputs!$G$2</f>
        <v>0</v>
      </c>
      <c r="U243">
        <f>Inputs!$I$3*B243*Inputs!$G$3</f>
        <v>0.20645773829738062</v>
      </c>
      <c r="V243">
        <f>Inputs!$I$4*C243*Inputs!$G$4</f>
        <v>0.1422264291528948</v>
      </c>
      <c r="W243">
        <f>Inputs!$I$5*D243*Inputs!$G$5</f>
        <v>0.20551679322687164</v>
      </c>
      <c r="X243">
        <f>Inputs!$I$6*E243*Inputs!$G$6</f>
        <v>0</v>
      </c>
      <c r="Y243">
        <f>Inputs!$I$7*F243*Inputs!$G$7</f>
        <v>0</v>
      </c>
      <c r="Z243">
        <f>Inputs!$I$8*G243*Inputs!$G$8</f>
        <v>0</v>
      </c>
      <c r="AA243">
        <f>Inputs!$I$9*H243*Inputs!$G$9</f>
        <v>0</v>
      </c>
      <c r="AB243">
        <f t="shared" si="32"/>
        <v>0.55420096067714708</v>
      </c>
      <c r="AD243">
        <f>Inputs!$I$2*ABS(A243-1)*Inputs!$H$2</f>
        <v>3.0082304526748989E-2</v>
      </c>
      <c r="AE243">
        <f>Inputs!$I$3*ABS(B243-1)*Inputs!$H$3</f>
        <v>0</v>
      </c>
      <c r="AF243">
        <f>Inputs!$I$4*ABS(C243-1)*Inputs!$H$4</f>
        <v>0</v>
      </c>
      <c r="AG243">
        <f>Inputs!$I$5*ABS(D243-1)*Inputs!$H$5</f>
        <v>0</v>
      </c>
      <c r="AH243">
        <f>Inputs!$I$6*ABS(E243-1)*Inputs!$H$6</f>
        <v>6.4042485034184693E-2</v>
      </c>
      <c r="AI243">
        <f>Inputs!$I$7*ABS(F243-1)*Inputs!$H$7</f>
        <v>1.49493001411365E-2</v>
      </c>
      <c r="AJ243">
        <f>Inputs!$I$8*ABS(G243-1)*Inputs!$H$8</f>
        <v>5.8391635937893226E-2</v>
      </c>
      <c r="AK243">
        <f>Inputs!$I$9*ABS(H243-1)*Inputs!$H$9</f>
        <v>1.3048927592764261E-2</v>
      </c>
      <c r="AL243">
        <f t="shared" si="28"/>
        <v>-0.18051465323272767</v>
      </c>
      <c r="AN243" s="1">
        <f t="shared" si="29"/>
        <v>0.37368630744441944</v>
      </c>
      <c r="AO243">
        <f t="shared" si="33"/>
        <v>5.0285565069142606E-4</v>
      </c>
      <c r="AP243">
        <f t="shared" si="34"/>
        <v>1.8894439432904199E-3</v>
      </c>
      <c r="AQ243" s="26">
        <f t="shared" si="30"/>
        <v>1.0004273362483869</v>
      </c>
      <c r="AR243">
        <f t="shared" si="31"/>
        <v>-2.4291179955578536E-4</v>
      </c>
    </row>
    <row r="244" spans="1:44" x14ac:dyDescent="0.25">
      <c r="A244">
        <v>0</v>
      </c>
      <c r="B244">
        <v>1</v>
      </c>
      <c r="C244">
        <v>1</v>
      </c>
      <c r="D244">
        <v>0</v>
      </c>
      <c r="E244">
        <v>1</v>
      </c>
      <c r="F244">
        <v>0</v>
      </c>
      <c r="G244">
        <v>0</v>
      </c>
      <c r="H244">
        <v>0</v>
      </c>
      <c r="J244">
        <f>(A244*Inputs!$E$2+ABS((A244-1))*(1-Inputs!$E$2))</f>
        <v>0.35</v>
      </c>
      <c r="K244">
        <f>(B244*Inputs!$E$3+ABS((B244-1))*(1-Inputs!$E$3))</f>
        <v>0.65</v>
      </c>
      <c r="L244">
        <f>(C244*Inputs!$E$4+ABS((C244-1))*(1-Inputs!$E$4))</f>
        <v>0.65</v>
      </c>
      <c r="M244">
        <f>(D244*Inputs!$E$5+ABS((D244-1))*(1-Inputs!$E$5))</f>
        <v>0.35</v>
      </c>
      <c r="N244">
        <f>(E244*Inputs!$E$6+ABS((E244-1))*(1-Inputs!$E$6))</f>
        <v>0.6</v>
      </c>
      <c r="O244">
        <f>(F244*Inputs!$E$7+ABS((F244-1))*(1-Inputs!$E$7))</f>
        <v>0.25</v>
      </c>
      <c r="P244">
        <f>(G244*Inputs!$E$8+ABS((G244-1))*(1-Inputs!$E$8))</f>
        <v>0.4</v>
      </c>
      <c r="Q244">
        <f>(H244*Inputs!$E$9+ABS((H244-1))*(1-Inputs!$E$9))</f>
        <v>0.35</v>
      </c>
      <c r="R244">
        <f t="shared" si="27"/>
        <v>1.0868812499999997E-3</v>
      </c>
      <c r="T244">
        <f>Inputs!$I$2*A244*Inputs!$G$2</f>
        <v>0</v>
      </c>
      <c r="U244">
        <f>Inputs!$I$3*B244*Inputs!$G$3</f>
        <v>0.20645773829738062</v>
      </c>
      <c r="V244">
        <f>Inputs!$I$4*C244*Inputs!$G$4</f>
        <v>0.1422264291528948</v>
      </c>
      <c r="W244">
        <f>Inputs!$I$5*D244*Inputs!$G$5</f>
        <v>0</v>
      </c>
      <c r="X244">
        <f>Inputs!$I$6*E244*Inputs!$G$6</f>
        <v>0.37656981200100598</v>
      </c>
      <c r="Y244">
        <f>Inputs!$I$7*F244*Inputs!$G$7</f>
        <v>0</v>
      </c>
      <c r="Z244">
        <f>Inputs!$I$8*G244*Inputs!$G$8</f>
        <v>0</v>
      </c>
      <c r="AA244">
        <f>Inputs!$I$9*H244*Inputs!$G$9</f>
        <v>0</v>
      </c>
      <c r="AB244">
        <f t="shared" si="32"/>
        <v>0.72525397945128134</v>
      </c>
      <c r="AD244">
        <f>Inputs!$I$2*ABS(A244-1)*Inputs!$H$2</f>
        <v>3.0082304526748989E-2</v>
      </c>
      <c r="AE244">
        <f>Inputs!$I$3*ABS(B244-1)*Inputs!$H$3</f>
        <v>0</v>
      </c>
      <c r="AF244">
        <f>Inputs!$I$4*ABS(C244-1)*Inputs!$H$4</f>
        <v>0</v>
      </c>
      <c r="AG244">
        <f>Inputs!$I$5*ABS(D244-1)*Inputs!$H$5</f>
        <v>3.0032539984442563E-2</v>
      </c>
      <c r="AH244">
        <f>Inputs!$I$6*ABS(E244-1)*Inputs!$H$6</f>
        <v>0</v>
      </c>
      <c r="AI244">
        <f>Inputs!$I$7*ABS(F244-1)*Inputs!$H$7</f>
        <v>1.49493001411365E-2</v>
      </c>
      <c r="AJ244">
        <f>Inputs!$I$8*ABS(G244-1)*Inputs!$H$8</f>
        <v>5.8391635937893226E-2</v>
      </c>
      <c r="AK244">
        <f>Inputs!$I$9*ABS(H244-1)*Inputs!$H$9</f>
        <v>1.3048927592764261E-2</v>
      </c>
      <c r="AL244">
        <f t="shared" si="28"/>
        <v>-0.14650470818298555</v>
      </c>
      <c r="AN244" s="1">
        <f t="shared" si="29"/>
        <v>0.57874927126829578</v>
      </c>
      <c r="AO244">
        <f t="shared" si="33"/>
        <v>6.2903173139267424E-4</v>
      </c>
      <c r="AP244">
        <f t="shared" si="34"/>
        <v>1.0435937603253118E-3</v>
      </c>
      <c r="AQ244" s="26">
        <f t="shared" si="30"/>
        <v>1.0004964289532008</v>
      </c>
      <c r="AR244">
        <f t="shared" si="31"/>
        <v>-1.5923322036080851E-4</v>
      </c>
    </row>
    <row r="245" spans="1:44" x14ac:dyDescent="0.25">
      <c r="A245">
        <v>0</v>
      </c>
      <c r="B245">
        <v>1</v>
      </c>
      <c r="C245">
        <v>1</v>
      </c>
      <c r="D245">
        <v>0</v>
      </c>
      <c r="E245">
        <v>0</v>
      </c>
      <c r="F245">
        <v>0</v>
      </c>
      <c r="G245">
        <v>0</v>
      </c>
      <c r="H245">
        <v>0</v>
      </c>
      <c r="J245">
        <f>(A245*Inputs!$E$2+ABS((A245-1))*(1-Inputs!$E$2))</f>
        <v>0.35</v>
      </c>
      <c r="K245">
        <f>(B245*Inputs!$E$3+ABS((B245-1))*(1-Inputs!$E$3))</f>
        <v>0.65</v>
      </c>
      <c r="L245">
        <f>(C245*Inputs!$E$4+ABS((C245-1))*(1-Inputs!$E$4))</f>
        <v>0.65</v>
      </c>
      <c r="M245">
        <f>(D245*Inputs!$E$5+ABS((D245-1))*(1-Inputs!$E$5))</f>
        <v>0.35</v>
      </c>
      <c r="N245">
        <f>(E245*Inputs!$E$6+ABS((E245-1))*(1-Inputs!$E$6))</f>
        <v>0.4</v>
      </c>
      <c r="O245">
        <f>(F245*Inputs!$E$7+ABS((F245-1))*(1-Inputs!$E$7))</f>
        <v>0.25</v>
      </c>
      <c r="P245">
        <f>(G245*Inputs!$E$8+ABS((G245-1))*(1-Inputs!$E$8))</f>
        <v>0.4</v>
      </c>
      <c r="Q245">
        <f>(H245*Inputs!$E$9+ABS((H245-1))*(1-Inputs!$E$9))</f>
        <v>0.35</v>
      </c>
      <c r="R245">
        <f t="shared" si="27"/>
        <v>7.2458750000000001E-4</v>
      </c>
      <c r="T245">
        <f>Inputs!$I$2*A245*Inputs!$G$2</f>
        <v>0</v>
      </c>
      <c r="U245">
        <f>Inputs!$I$3*B245*Inputs!$G$3</f>
        <v>0.20645773829738062</v>
      </c>
      <c r="V245">
        <f>Inputs!$I$4*C245*Inputs!$G$4</f>
        <v>0.1422264291528948</v>
      </c>
      <c r="W245">
        <f>Inputs!$I$5*D245*Inputs!$G$5</f>
        <v>0</v>
      </c>
      <c r="X245">
        <f>Inputs!$I$6*E245*Inputs!$G$6</f>
        <v>0</v>
      </c>
      <c r="Y245">
        <f>Inputs!$I$7*F245*Inputs!$G$7</f>
        <v>0</v>
      </c>
      <c r="Z245">
        <f>Inputs!$I$8*G245*Inputs!$G$8</f>
        <v>0</v>
      </c>
      <c r="AA245">
        <f>Inputs!$I$9*H245*Inputs!$G$9</f>
        <v>0</v>
      </c>
      <c r="AB245">
        <f t="shared" si="32"/>
        <v>0.34868416745027542</v>
      </c>
      <c r="AD245">
        <f>Inputs!$I$2*ABS(A245-1)*Inputs!$H$2</f>
        <v>3.0082304526748989E-2</v>
      </c>
      <c r="AE245">
        <f>Inputs!$I$3*ABS(B245-1)*Inputs!$H$3</f>
        <v>0</v>
      </c>
      <c r="AF245">
        <f>Inputs!$I$4*ABS(C245-1)*Inputs!$H$4</f>
        <v>0</v>
      </c>
      <c r="AG245">
        <f>Inputs!$I$5*ABS(D245-1)*Inputs!$H$5</f>
        <v>3.0032539984442563E-2</v>
      </c>
      <c r="AH245">
        <f>Inputs!$I$6*ABS(E245-1)*Inputs!$H$6</f>
        <v>6.4042485034184693E-2</v>
      </c>
      <c r="AI245">
        <f>Inputs!$I$7*ABS(F245-1)*Inputs!$H$7</f>
        <v>1.49493001411365E-2</v>
      </c>
      <c r="AJ245">
        <f>Inputs!$I$8*ABS(G245-1)*Inputs!$H$8</f>
        <v>5.8391635937893226E-2</v>
      </c>
      <c r="AK245">
        <f>Inputs!$I$9*ABS(H245-1)*Inputs!$H$9</f>
        <v>1.3048927592764261E-2</v>
      </c>
      <c r="AL245">
        <f t="shared" si="28"/>
        <v>-0.21054719321717025</v>
      </c>
      <c r="AN245" s="1">
        <f t="shared" si="29"/>
        <v>0.13813697423310517</v>
      </c>
      <c r="AO245">
        <f t="shared" si="33"/>
        <v>1.0009232481713009E-4</v>
      </c>
      <c r="AP245">
        <f t="shared" si="34"/>
        <v>1.4620798106033841E-3</v>
      </c>
      <c r="AQ245" s="26">
        <f t="shared" si="30"/>
        <v>1.0000937607228111</v>
      </c>
      <c r="AR245">
        <f t="shared" si="31"/>
        <v>-1.5255986436524634E-4</v>
      </c>
    </row>
    <row r="246" spans="1:44" x14ac:dyDescent="0.25">
      <c r="A246">
        <v>0</v>
      </c>
      <c r="B246">
        <v>1</v>
      </c>
      <c r="C246">
        <v>0</v>
      </c>
      <c r="D246">
        <v>1</v>
      </c>
      <c r="E246">
        <v>1</v>
      </c>
      <c r="F246">
        <v>0</v>
      </c>
      <c r="G246">
        <v>0</v>
      </c>
      <c r="H246">
        <v>0</v>
      </c>
      <c r="J246">
        <f>(A246*Inputs!$E$2+ABS((A246-1))*(1-Inputs!$E$2))</f>
        <v>0.35</v>
      </c>
      <c r="K246">
        <f>(B246*Inputs!$E$3+ABS((B246-1))*(1-Inputs!$E$3))</f>
        <v>0.65</v>
      </c>
      <c r="L246">
        <f>(C246*Inputs!$E$4+ABS((C246-1))*(1-Inputs!$E$4))</f>
        <v>0.35</v>
      </c>
      <c r="M246">
        <f>(D246*Inputs!$E$5+ABS((D246-1))*(1-Inputs!$E$5))</f>
        <v>0.65</v>
      </c>
      <c r="N246">
        <f>(E246*Inputs!$E$6+ABS((E246-1))*(1-Inputs!$E$6))</f>
        <v>0.6</v>
      </c>
      <c r="O246">
        <f>(F246*Inputs!$E$7+ABS((F246-1))*(1-Inputs!$E$7))</f>
        <v>0.25</v>
      </c>
      <c r="P246">
        <f>(G246*Inputs!$E$8+ABS((G246-1))*(1-Inputs!$E$8))</f>
        <v>0.4</v>
      </c>
      <c r="Q246">
        <f>(H246*Inputs!$E$9+ABS((H246-1))*(1-Inputs!$E$9))</f>
        <v>0.35</v>
      </c>
      <c r="R246">
        <f t="shared" si="27"/>
        <v>1.0868812499999999E-3</v>
      </c>
      <c r="T246">
        <f>Inputs!$I$2*A246*Inputs!$G$2</f>
        <v>0</v>
      </c>
      <c r="U246">
        <f>Inputs!$I$3*B246*Inputs!$G$3</f>
        <v>0.20645773829738062</v>
      </c>
      <c r="V246">
        <f>Inputs!$I$4*C246*Inputs!$G$4</f>
        <v>0</v>
      </c>
      <c r="W246">
        <f>Inputs!$I$5*D246*Inputs!$G$5</f>
        <v>0.20551679322687164</v>
      </c>
      <c r="X246">
        <f>Inputs!$I$6*E246*Inputs!$G$6</f>
        <v>0.37656981200100598</v>
      </c>
      <c r="Y246">
        <f>Inputs!$I$7*F246*Inputs!$G$7</f>
        <v>0</v>
      </c>
      <c r="Z246">
        <f>Inputs!$I$8*G246*Inputs!$G$8</f>
        <v>0</v>
      </c>
      <c r="AA246">
        <f>Inputs!$I$9*H246*Inputs!$G$9</f>
        <v>0</v>
      </c>
      <c r="AB246">
        <f t="shared" si="32"/>
        <v>0.78854434352525815</v>
      </c>
      <c r="AD246">
        <f>Inputs!$I$2*ABS(A246-1)*Inputs!$H$2</f>
        <v>3.0082304526748989E-2</v>
      </c>
      <c r="AE246">
        <f>Inputs!$I$3*ABS(B246-1)*Inputs!$H$3</f>
        <v>0</v>
      </c>
      <c r="AF246">
        <f>Inputs!$I$4*ABS(C246-1)*Inputs!$H$4</f>
        <v>8.9678988679000853E-3</v>
      </c>
      <c r="AG246">
        <f>Inputs!$I$5*ABS(D246-1)*Inputs!$H$5</f>
        <v>0</v>
      </c>
      <c r="AH246">
        <f>Inputs!$I$6*ABS(E246-1)*Inputs!$H$6</f>
        <v>0</v>
      </c>
      <c r="AI246">
        <f>Inputs!$I$7*ABS(F246-1)*Inputs!$H$7</f>
        <v>1.49493001411365E-2</v>
      </c>
      <c r="AJ246">
        <f>Inputs!$I$8*ABS(G246-1)*Inputs!$H$8</f>
        <v>5.8391635937893226E-2</v>
      </c>
      <c r="AK246">
        <f>Inputs!$I$9*ABS(H246-1)*Inputs!$H$9</f>
        <v>1.3048927592764261E-2</v>
      </c>
      <c r="AL246">
        <f t="shared" si="28"/>
        <v>-0.12544006706644306</v>
      </c>
      <c r="AN246" s="1">
        <f t="shared" si="29"/>
        <v>0.66310427645881509</v>
      </c>
      <c r="AO246">
        <f t="shared" si="33"/>
        <v>7.2071560487790246E-4</v>
      </c>
      <c r="AP246">
        <f t="shared" si="34"/>
        <v>8.7164862340658258E-4</v>
      </c>
      <c r="AQ246" s="26">
        <f t="shared" si="30"/>
        <v>1.0005530340360624</v>
      </c>
      <c r="AR246">
        <f t="shared" si="31"/>
        <v>-1.3633845689325945E-4</v>
      </c>
    </row>
    <row r="247" spans="1:44" x14ac:dyDescent="0.25">
      <c r="A247">
        <v>0</v>
      </c>
      <c r="B247">
        <v>1</v>
      </c>
      <c r="C247">
        <v>0</v>
      </c>
      <c r="D247">
        <v>1</v>
      </c>
      <c r="E247">
        <v>0</v>
      </c>
      <c r="F247">
        <v>0</v>
      </c>
      <c r="G247">
        <v>0</v>
      </c>
      <c r="H247">
        <v>0</v>
      </c>
      <c r="J247">
        <f>(A247*Inputs!$E$2+ABS((A247-1))*(1-Inputs!$E$2))</f>
        <v>0.35</v>
      </c>
      <c r="K247">
        <f>(B247*Inputs!$E$3+ABS((B247-1))*(1-Inputs!$E$3))</f>
        <v>0.65</v>
      </c>
      <c r="L247">
        <f>(C247*Inputs!$E$4+ABS((C247-1))*(1-Inputs!$E$4))</f>
        <v>0.35</v>
      </c>
      <c r="M247">
        <f>(D247*Inputs!$E$5+ABS((D247-1))*(1-Inputs!$E$5))</f>
        <v>0.65</v>
      </c>
      <c r="N247">
        <f>(E247*Inputs!$E$6+ABS((E247-1))*(1-Inputs!$E$6))</f>
        <v>0.4</v>
      </c>
      <c r="O247">
        <f>(F247*Inputs!$E$7+ABS((F247-1))*(1-Inputs!$E$7))</f>
        <v>0.25</v>
      </c>
      <c r="P247">
        <f>(G247*Inputs!$E$8+ABS((G247-1))*(1-Inputs!$E$8))</f>
        <v>0.4</v>
      </c>
      <c r="Q247">
        <f>(H247*Inputs!$E$9+ABS((H247-1))*(1-Inputs!$E$9))</f>
        <v>0.35</v>
      </c>
      <c r="R247">
        <f t="shared" si="27"/>
        <v>7.2458750000000001E-4</v>
      </c>
      <c r="T247">
        <f>Inputs!$I$2*A247*Inputs!$G$2</f>
        <v>0</v>
      </c>
      <c r="U247">
        <f>Inputs!$I$3*B247*Inputs!$G$3</f>
        <v>0.20645773829738062</v>
      </c>
      <c r="V247">
        <f>Inputs!$I$4*C247*Inputs!$G$4</f>
        <v>0</v>
      </c>
      <c r="W247">
        <f>Inputs!$I$5*D247*Inputs!$G$5</f>
        <v>0.20551679322687164</v>
      </c>
      <c r="X247">
        <f>Inputs!$I$6*E247*Inputs!$G$6</f>
        <v>0</v>
      </c>
      <c r="Y247">
        <f>Inputs!$I$7*F247*Inputs!$G$7</f>
        <v>0</v>
      </c>
      <c r="Z247">
        <f>Inputs!$I$8*G247*Inputs!$G$8</f>
        <v>0</v>
      </c>
      <c r="AA247">
        <f>Inputs!$I$9*H247*Inputs!$G$9</f>
        <v>0</v>
      </c>
      <c r="AB247">
        <f t="shared" si="32"/>
        <v>0.41197453152425223</v>
      </c>
      <c r="AD247">
        <f>Inputs!$I$2*ABS(A247-1)*Inputs!$H$2</f>
        <v>3.0082304526748989E-2</v>
      </c>
      <c r="AE247">
        <f>Inputs!$I$3*ABS(B247-1)*Inputs!$H$3</f>
        <v>0</v>
      </c>
      <c r="AF247">
        <f>Inputs!$I$4*ABS(C247-1)*Inputs!$H$4</f>
        <v>8.9678988679000853E-3</v>
      </c>
      <c r="AG247">
        <f>Inputs!$I$5*ABS(D247-1)*Inputs!$H$5</f>
        <v>0</v>
      </c>
      <c r="AH247">
        <f>Inputs!$I$6*ABS(E247-1)*Inputs!$H$6</f>
        <v>6.4042485034184693E-2</v>
      </c>
      <c r="AI247">
        <f>Inputs!$I$7*ABS(F247-1)*Inputs!$H$7</f>
        <v>1.49493001411365E-2</v>
      </c>
      <c r="AJ247">
        <f>Inputs!$I$8*ABS(G247-1)*Inputs!$H$8</f>
        <v>5.8391635937893226E-2</v>
      </c>
      <c r="AK247">
        <f>Inputs!$I$9*ABS(H247-1)*Inputs!$H$9</f>
        <v>1.3048927592764261E-2</v>
      </c>
      <c r="AL247">
        <f t="shared" si="28"/>
        <v>-0.18948255210062775</v>
      </c>
      <c r="AN247" s="1">
        <f t="shared" si="29"/>
        <v>0.22249197942362448</v>
      </c>
      <c r="AO247">
        <f t="shared" si="33"/>
        <v>1.6121490714061549E-4</v>
      </c>
      <c r="AP247">
        <f t="shared" si="34"/>
        <v>1.2935869965276842E-3</v>
      </c>
      <c r="AQ247" s="26">
        <f t="shared" si="30"/>
        <v>1.0001455739787899</v>
      </c>
      <c r="AR247">
        <f t="shared" si="31"/>
        <v>-1.3729668872021361E-4</v>
      </c>
    </row>
    <row r="248" spans="1:44" x14ac:dyDescent="0.25">
      <c r="A248">
        <v>0</v>
      </c>
      <c r="B248">
        <v>1</v>
      </c>
      <c r="C248">
        <v>0</v>
      </c>
      <c r="D248">
        <v>0</v>
      </c>
      <c r="E248">
        <v>1</v>
      </c>
      <c r="F248">
        <v>0</v>
      </c>
      <c r="G248">
        <v>0</v>
      </c>
      <c r="H248">
        <v>0</v>
      </c>
      <c r="J248">
        <f>(A248*Inputs!$E$2+ABS((A248-1))*(1-Inputs!$E$2))</f>
        <v>0.35</v>
      </c>
      <c r="K248">
        <f>(B248*Inputs!$E$3+ABS((B248-1))*(1-Inputs!$E$3))</f>
        <v>0.65</v>
      </c>
      <c r="L248">
        <f>(C248*Inputs!$E$4+ABS((C248-1))*(1-Inputs!$E$4))</f>
        <v>0.35</v>
      </c>
      <c r="M248">
        <f>(D248*Inputs!$E$5+ABS((D248-1))*(1-Inputs!$E$5))</f>
        <v>0.35</v>
      </c>
      <c r="N248">
        <f>(E248*Inputs!$E$6+ABS((E248-1))*(1-Inputs!$E$6))</f>
        <v>0.6</v>
      </c>
      <c r="O248">
        <f>(F248*Inputs!$E$7+ABS((F248-1))*(1-Inputs!$E$7))</f>
        <v>0.25</v>
      </c>
      <c r="P248">
        <f>(G248*Inputs!$E$8+ABS((G248-1))*(1-Inputs!$E$8))</f>
        <v>0.4</v>
      </c>
      <c r="Q248">
        <f>(H248*Inputs!$E$9+ABS((H248-1))*(1-Inputs!$E$9))</f>
        <v>0.35</v>
      </c>
      <c r="R248">
        <f t="shared" si="27"/>
        <v>5.8524374999999987E-4</v>
      </c>
      <c r="T248">
        <f>Inputs!$I$2*A248*Inputs!$G$2</f>
        <v>0</v>
      </c>
      <c r="U248">
        <f>Inputs!$I$3*B248*Inputs!$G$3</f>
        <v>0.20645773829738062</v>
      </c>
      <c r="V248">
        <f>Inputs!$I$4*C248*Inputs!$G$4</f>
        <v>0</v>
      </c>
      <c r="W248">
        <f>Inputs!$I$5*D248*Inputs!$G$5</f>
        <v>0</v>
      </c>
      <c r="X248">
        <f>Inputs!$I$6*E248*Inputs!$G$6</f>
        <v>0.37656981200100598</v>
      </c>
      <c r="Y248">
        <f>Inputs!$I$7*F248*Inputs!$G$7</f>
        <v>0</v>
      </c>
      <c r="Z248">
        <f>Inputs!$I$8*G248*Inputs!$G$8</f>
        <v>0</v>
      </c>
      <c r="AA248">
        <f>Inputs!$I$9*H248*Inputs!$G$9</f>
        <v>0</v>
      </c>
      <c r="AB248">
        <f t="shared" si="32"/>
        <v>0.5830275502983866</v>
      </c>
      <c r="AD248">
        <f>Inputs!$I$2*ABS(A248-1)*Inputs!$H$2</f>
        <v>3.0082304526748989E-2</v>
      </c>
      <c r="AE248">
        <f>Inputs!$I$3*ABS(B248-1)*Inputs!$H$3</f>
        <v>0</v>
      </c>
      <c r="AF248">
        <f>Inputs!$I$4*ABS(C248-1)*Inputs!$H$4</f>
        <v>8.9678988679000853E-3</v>
      </c>
      <c r="AG248">
        <f>Inputs!$I$5*ABS(D248-1)*Inputs!$H$5</f>
        <v>3.0032539984442563E-2</v>
      </c>
      <c r="AH248">
        <f>Inputs!$I$6*ABS(E248-1)*Inputs!$H$6</f>
        <v>0</v>
      </c>
      <c r="AI248">
        <f>Inputs!$I$7*ABS(F248-1)*Inputs!$H$7</f>
        <v>1.49493001411365E-2</v>
      </c>
      <c r="AJ248">
        <f>Inputs!$I$8*ABS(G248-1)*Inputs!$H$8</f>
        <v>5.8391635937893226E-2</v>
      </c>
      <c r="AK248">
        <f>Inputs!$I$9*ABS(H248-1)*Inputs!$H$9</f>
        <v>1.3048927592764261E-2</v>
      </c>
      <c r="AL248">
        <f t="shared" si="28"/>
        <v>-0.15547260705088564</v>
      </c>
      <c r="AN248" s="1">
        <f t="shared" si="29"/>
        <v>0.42755494324750098</v>
      </c>
      <c r="AO248">
        <f t="shared" si="33"/>
        <v>2.5022385831720458E-4</v>
      </c>
      <c r="AP248">
        <f t="shared" si="34"/>
        <v>7.4872474259935569E-4</v>
      </c>
      <c r="AQ248" s="26">
        <f t="shared" si="30"/>
        <v>1.0002083469105256</v>
      </c>
      <c r="AR248">
        <f t="shared" si="31"/>
        <v>-9.0989371572736737E-5</v>
      </c>
    </row>
    <row r="249" spans="1:44" x14ac:dyDescent="0.25">
      <c r="A249">
        <v>0</v>
      </c>
      <c r="B249">
        <v>1</v>
      </c>
      <c r="C249">
        <v>0</v>
      </c>
      <c r="D249">
        <v>0</v>
      </c>
      <c r="E249">
        <v>0</v>
      </c>
      <c r="F249">
        <v>0</v>
      </c>
      <c r="G249">
        <v>0</v>
      </c>
      <c r="H249">
        <v>0</v>
      </c>
      <c r="J249">
        <f>(A249*Inputs!$E$2+ABS((A249-1))*(1-Inputs!$E$2))</f>
        <v>0.35</v>
      </c>
      <c r="K249">
        <f>(B249*Inputs!$E$3+ABS((B249-1))*(1-Inputs!$E$3))</f>
        <v>0.65</v>
      </c>
      <c r="L249">
        <f>(C249*Inputs!$E$4+ABS((C249-1))*(1-Inputs!$E$4))</f>
        <v>0.35</v>
      </c>
      <c r="M249">
        <f>(D249*Inputs!$E$5+ABS((D249-1))*(1-Inputs!$E$5))</f>
        <v>0.35</v>
      </c>
      <c r="N249">
        <f>(E249*Inputs!$E$6+ABS((E249-1))*(1-Inputs!$E$6))</f>
        <v>0.4</v>
      </c>
      <c r="O249">
        <f>(F249*Inputs!$E$7+ABS((F249-1))*(1-Inputs!$E$7))</f>
        <v>0.25</v>
      </c>
      <c r="P249">
        <f>(G249*Inputs!$E$8+ABS((G249-1))*(1-Inputs!$E$8))</f>
        <v>0.4</v>
      </c>
      <c r="Q249">
        <f>(H249*Inputs!$E$9+ABS((H249-1))*(1-Inputs!$E$9))</f>
        <v>0.35</v>
      </c>
      <c r="R249">
        <f t="shared" si="27"/>
        <v>3.9016249999999995E-4</v>
      </c>
      <c r="T249">
        <f>Inputs!$I$2*A249*Inputs!$G$2</f>
        <v>0</v>
      </c>
      <c r="U249">
        <f>Inputs!$I$3*B249*Inputs!$G$3</f>
        <v>0.20645773829738062</v>
      </c>
      <c r="V249">
        <f>Inputs!$I$4*C249*Inputs!$G$4</f>
        <v>0</v>
      </c>
      <c r="W249">
        <f>Inputs!$I$5*D249*Inputs!$G$5</f>
        <v>0</v>
      </c>
      <c r="X249">
        <f>Inputs!$I$6*E249*Inputs!$G$6</f>
        <v>0</v>
      </c>
      <c r="Y249">
        <f>Inputs!$I$7*F249*Inputs!$G$7</f>
        <v>0</v>
      </c>
      <c r="Z249">
        <f>Inputs!$I$8*G249*Inputs!$G$8</f>
        <v>0</v>
      </c>
      <c r="AA249">
        <f>Inputs!$I$9*H249*Inputs!$G$9</f>
        <v>0</v>
      </c>
      <c r="AB249">
        <f t="shared" si="32"/>
        <v>0.20645773829738062</v>
      </c>
      <c r="AD249">
        <f>Inputs!$I$2*ABS(A249-1)*Inputs!$H$2</f>
        <v>3.0082304526748989E-2</v>
      </c>
      <c r="AE249">
        <f>Inputs!$I$3*ABS(B249-1)*Inputs!$H$3</f>
        <v>0</v>
      </c>
      <c r="AF249">
        <f>Inputs!$I$4*ABS(C249-1)*Inputs!$H$4</f>
        <v>8.9678988679000853E-3</v>
      </c>
      <c r="AG249">
        <f>Inputs!$I$5*ABS(D249-1)*Inputs!$H$5</f>
        <v>3.0032539984442563E-2</v>
      </c>
      <c r="AH249">
        <f>Inputs!$I$6*ABS(E249-1)*Inputs!$H$6</f>
        <v>6.4042485034184693E-2</v>
      </c>
      <c r="AI249">
        <f>Inputs!$I$7*ABS(F249-1)*Inputs!$H$7</f>
        <v>1.49493001411365E-2</v>
      </c>
      <c r="AJ249">
        <f>Inputs!$I$8*ABS(G249-1)*Inputs!$H$8</f>
        <v>5.8391635937893226E-2</v>
      </c>
      <c r="AK249">
        <f>Inputs!$I$9*ABS(H249-1)*Inputs!$H$9</f>
        <v>1.3048927592764261E-2</v>
      </c>
      <c r="AL249">
        <f t="shared" si="28"/>
        <v>-0.21951509208507033</v>
      </c>
      <c r="AN249" s="1">
        <f t="shared" si="29"/>
        <v>-1.3057353787689713E-2</v>
      </c>
      <c r="AO249">
        <f t="shared" si="33"/>
        <v>-5.0944897971894866E-6</v>
      </c>
      <c r="AP249">
        <f t="shared" si="34"/>
        <v>9.6378392483524719E-4</v>
      </c>
      <c r="AQ249" s="26">
        <f t="shared" si="30"/>
        <v>0.9999948719706806</v>
      </c>
      <c r="AR249">
        <f t="shared" si="31"/>
        <v>-8.5646557115641244E-5</v>
      </c>
    </row>
    <row r="250" spans="1:44" x14ac:dyDescent="0.25">
      <c r="A250">
        <v>0</v>
      </c>
      <c r="B250">
        <v>0</v>
      </c>
      <c r="C250">
        <v>1</v>
      </c>
      <c r="D250">
        <v>1</v>
      </c>
      <c r="E250">
        <v>1</v>
      </c>
      <c r="F250">
        <v>0</v>
      </c>
      <c r="G250">
        <v>0</v>
      </c>
      <c r="H250">
        <v>0</v>
      </c>
      <c r="J250">
        <f>(A250*Inputs!$E$2+ABS((A250-1))*(1-Inputs!$E$2))</f>
        <v>0.35</v>
      </c>
      <c r="K250">
        <f>(B250*Inputs!$E$3+ABS((B250-1))*(1-Inputs!$E$3))</f>
        <v>0.35</v>
      </c>
      <c r="L250">
        <f>(C250*Inputs!$E$4+ABS((C250-1))*(1-Inputs!$E$4))</f>
        <v>0.65</v>
      </c>
      <c r="M250">
        <f>(D250*Inputs!$E$5+ABS((D250-1))*(1-Inputs!$E$5))</f>
        <v>0.65</v>
      </c>
      <c r="N250">
        <f>(E250*Inputs!$E$6+ABS((E250-1))*(1-Inputs!$E$6))</f>
        <v>0.6</v>
      </c>
      <c r="O250">
        <f>(F250*Inputs!$E$7+ABS((F250-1))*(1-Inputs!$E$7))</f>
        <v>0.25</v>
      </c>
      <c r="P250">
        <f>(G250*Inputs!$E$8+ABS((G250-1))*(1-Inputs!$E$8))</f>
        <v>0.4</v>
      </c>
      <c r="Q250">
        <f>(H250*Inputs!$E$9+ABS((H250-1))*(1-Inputs!$E$9))</f>
        <v>0.35</v>
      </c>
      <c r="R250">
        <f t="shared" si="27"/>
        <v>1.0868812499999999E-3</v>
      </c>
      <c r="T250">
        <f>Inputs!$I$2*A250*Inputs!$G$2</f>
        <v>0</v>
      </c>
      <c r="U250">
        <f>Inputs!$I$3*B250*Inputs!$G$3</f>
        <v>0</v>
      </c>
      <c r="V250">
        <f>Inputs!$I$4*C250*Inputs!$G$4</f>
        <v>0.1422264291528948</v>
      </c>
      <c r="W250">
        <f>Inputs!$I$5*D250*Inputs!$G$5</f>
        <v>0.20551679322687164</v>
      </c>
      <c r="X250">
        <f>Inputs!$I$6*E250*Inputs!$G$6</f>
        <v>0.37656981200100598</v>
      </c>
      <c r="Y250">
        <f>Inputs!$I$7*F250*Inputs!$G$7</f>
        <v>0</v>
      </c>
      <c r="Z250">
        <f>Inputs!$I$8*G250*Inputs!$G$8</f>
        <v>0</v>
      </c>
      <c r="AA250">
        <f>Inputs!$I$9*H250*Inputs!$G$9</f>
        <v>0</v>
      </c>
      <c r="AB250">
        <f t="shared" si="32"/>
        <v>0.72431303438077244</v>
      </c>
      <c r="AD250">
        <f>Inputs!$I$2*ABS(A250-1)*Inputs!$H$2</f>
        <v>3.0082304526748989E-2</v>
      </c>
      <c r="AE250">
        <f>Inputs!$I$3*ABS(B250-1)*Inputs!$H$3</f>
        <v>1.1405796839520112E-2</v>
      </c>
      <c r="AF250">
        <f>Inputs!$I$4*ABS(C250-1)*Inputs!$H$4</f>
        <v>0</v>
      </c>
      <c r="AG250">
        <f>Inputs!$I$5*ABS(D250-1)*Inputs!$H$5</f>
        <v>0</v>
      </c>
      <c r="AH250">
        <f>Inputs!$I$6*ABS(E250-1)*Inputs!$H$6</f>
        <v>0</v>
      </c>
      <c r="AI250">
        <f>Inputs!$I$7*ABS(F250-1)*Inputs!$H$7</f>
        <v>1.49493001411365E-2</v>
      </c>
      <c r="AJ250">
        <f>Inputs!$I$8*ABS(G250-1)*Inputs!$H$8</f>
        <v>5.8391635937893226E-2</v>
      </c>
      <c r="AK250">
        <f>Inputs!$I$9*ABS(H250-1)*Inputs!$H$9</f>
        <v>1.3048927592764261E-2</v>
      </c>
      <c r="AL250">
        <f t="shared" si="28"/>
        <v>-0.12787796503806309</v>
      </c>
      <c r="AN250" s="1">
        <f t="shared" si="29"/>
        <v>0.5964350693427094</v>
      </c>
      <c r="AO250">
        <f t="shared" si="33"/>
        <v>6.4825409371104057E-4</v>
      </c>
      <c r="AP250">
        <f t="shared" si="34"/>
        <v>1.00626235066526E-3</v>
      </c>
      <c r="AQ250" s="26">
        <f t="shared" si="30"/>
        <v>1.0005085430342227</v>
      </c>
      <c r="AR250">
        <f t="shared" si="31"/>
        <v>-1.3898816248802631E-4</v>
      </c>
    </row>
    <row r="251" spans="1:44" x14ac:dyDescent="0.25">
      <c r="A251">
        <v>0</v>
      </c>
      <c r="B251">
        <v>0</v>
      </c>
      <c r="C251">
        <v>1</v>
      </c>
      <c r="D251">
        <v>1</v>
      </c>
      <c r="E251">
        <v>0</v>
      </c>
      <c r="F251">
        <v>0</v>
      </c>
      <c r="G251">
        <v>0</v>
      </c>
      <c r="H251">
        <v>0</v>
      </c>
      <c r="J251">
        <f>(A251*Inputs!$E$2+ABS((A251-1))*(1-Inputs!$E$2))</f>
        <v>0.35</v>
      </c>
      <c r="K251">
        <f>(B251*Inputs!$E$3+ABS((B251-1))*(1-Inputs!$E$3))</f>
        <v>0.35</v>
      </c>
      <c r="L251">
        <f>(C251*Inputs!$E$4+ABS((C251-1))*(1-Inputs!$E$4))</f>
        <v>0.65</v>
      </c>
      <c r="M251">
        <f>(D251*Inputs!$E$5+ABS((D251-1))*(1-Inputs!$E$5))</f>
        <v>0.65</v>
      </c>
      <c r="N251">
        <f>(E251*Inputs!$E$6+ABS((E251-1))*(1-Inputs!$E$6))</f>
        <v>0.4</v>
      </c>
      <c r="O251">
        <f>(F251*Inputs!$E$7+ABS((F251-1))*(1-Inputs!$E$7))</f>
        <v>0.25</v>
      </c>
      <c r="P251">
        <f>(G251*Inputs!$E$8+ABS((G251-1))*(1-Inputs!$E$8))</f>
        <v>0.4</v>
      </c>
      <c r="Q251">
        <f>(H251*Inputs!$E$9+ABS((H251-1))*(1-Inputs!$E$9))</f>
        <v>0.35</v>
      </c>
      <c r="R251">
        <f t="shared" si="27"/>
        <v>7.2458750000000001E-4</v>
      </c>
      <c r="T251">
        <f>Inputs!$I$2*A251*Inputs!$G$2</f>
        <v>0</v>
      </c>
      <c r="U251">
        <f>Inputs!$I$3*B251*Inputs!$G$3</f>
        <v>0</v>
      </c>
      <c r="V251">
        <f>Inputs!$I$4*C251*Inputs!$G$4</f>
        <v>0.1422264291528948</v>
      </c>
      <c r="W251">
        <f>Inputs!$I$5*D251*Inputs!$G$5</f>
        <v>0.20551679322687164</v>
      </c>
      <c r="X251">
        <f>Inputs!$I$6*E251*Inputs!$G$6</f>
        <v>0</v>
      </c>
      <c r="Y251">
        <f>Inputs!$I$7*F251*Inputs!$G$7</f>
        <v>0</v>
      </c>
      <c r="Z251">
        <f>Inputs!$I$8*G251*Inputs!$G$8</f>
        <v>0</v>
      </c>
      <c r="AA251">
        <f>Inputs!$I$9*H251*Inputs!$G$9</f>
        <v>0</v>
      </c>
      <c r="AB251">
        <f t="shared" si="32"/>
        <v>0.3477432223797664</v>
      </c>
      <c r="AD251">
        <f>Inputs!$I$2*ABS(A251-1)*Inputs!$H$2</f>
        <v>3.0082304526748989E-2</v>
      </c>
      <c r="AE251">
        <f>Inputs!$I$3*ABS(B251-1)*Inputs!$H$3</f>
        <v>1.1405796839520112E-2</v>
      </c>
      <c r="AF251">
        <f>Inputs!$I$4*ABS(C251-1)*Inputs!$H$4</f>
        <v>0</v>
      </c>
      <c r="AG251">
        <f>Inputs!$I$5*ABS(D251-1)*Inputs!$H$5</f>
        <v>0</v>
      </c>
      <c r="AH251">
        <f>Inputs!$I$6*ABS(E251-1)*Inputs!$H$6</f>
        <v>6.4042485034184693E-2</v>
      </c>
      <c r="AI251">
        <f>Inputs!$I$7*ABS(F251-1)*Inputs!$H$7</f>
        <v>1.49493001411365E-2</v>
      </c>
      <c r="AJ251">
        <f>Inputs!$I$8*ABS(G251-1)*Inputs!$H$8</f>
        <v>5.8391635937893226E-2</v>
      </c>
      <c r="AK251">
        <f>Inputs!$I$9*ABS(H251-1)*Inputs!$H$9</f>
        <v>1.3048927592764261E-2</v>
      </c>
      <c r="AL251">
        <f t="shared" si="28"/>
        <v>-0.19192045007224778</v>
      </c>
      <c r="AN251" s="1">
        <f t="shared" si="29"/>
        <v>0.15582277230751862</v>
      </c>
      <c r="AO251">
        <f t="shared" si="33"/>
        <v>1.1290723302937415E-4</v>
      </c>
      <c r="AP251">
        <f t="shared" si="34"/>
        <v>1.4258993918759659E-3</v>
      </c>
      <c r="AQ251" s="26">
        <f t="shared" si="30"/>
        <v>1.0001049347944604</v>
      </c>
      <c r="AR251">
        <f t="shared" si="31"/>
        <v>-1.3906315911672485E-4</v>
      </c>
    </row>
    <row r="252" spans="1:44" x14ac:dyDescent="0.25">
      <c r="A252">
        <v>0</v>
      </c>
      <c r="B252">
        <v>0</v>
      </c>
      <c r="C252">
        <v>1</v>
      </c>
      <c r="D252">
        <v>0</v>
      </c>
      <c r="E252">
        <v>1</v>
      </c>
      <c r="F252">
        <v>0</v>
      </c>
      <c r="G252">
        <v>0</v>
      </c>
      <c r="H252">
        <v>0</v>
      </c>
      <c r="J252">
        <f>(A252*Inputs!$E$2+ABS((A252-1))*(1-Inputs!$E$2))</f>
        <v>0.35</v>
      </c>
      <c r="K252">
        <f>(B252*Inputs!$E$3+ABS((B252-1))*(1-Inputs!$E$3))</f>
        <v>0.35</v>
      </c>
      <c r="L252">
        <f>(C252*Inputs!$E$4+ABS((C252-1))*(1-Inputs!$E$4))</f>
        <v>0.65</v>
      </c>
      <c r="M252">
        <f>(D252*Inputs!$E$5+ABS((D252-1))*(1-Inputs!$E$5))</f>
        <v>0.35</v>
      </c>
      <c r="N252">
        <f>(E252*Inputs!$E$6+ABS((E252-1))*(1-Inputs!$E$6))</f>
        <v>0.6</v>
      </c>
      <c r="O252">
        <f>(F252*Inputs!$E$7+ABS((F252-1))*(1-Inputs!$E$7))</f>
        <v>0.25</v>
      </c>
      <c r="P252">
        <f>(G252*Inputs!$E$8+ABS((G252-1))*(1-Inputs!$E$8))</f>
        <v>0.4</v>
      </c>
      <c r="Q252">
        <f>(H252*Inputs!$E$9+ABS((H252-1))*(1-Inputs!$E$9))</f>
        <v>0.35</v>
      </c>
      <c r="R252">
        <f t="shared" si="27"/>
        <v>5.8524374999999987E-4</v>
      </c>
      <c r="T252">
        <f>Inputs!$I$2*A252*Inputs!$G$2</f>
        <v>0</v>
      </c>
      <c r="U252">
        <f>Inputs!$I$3*B252*Inputs!$G$3</f>
        <v>0</v>
      </c>
      <c r="V252">
        <f>Inputs!$I$4*C252*Inputs!$G$4</f>
        <v>0.1422264291528948</v>
      </c>
      <c r="W252">
        <f>Inputs!$I$5*D252*Inputs!$G$5</f>
        <v>0</v>
      </c>
      <c r="X252">
        <f>Inputs!$I$6*E252*Inputs!$G$6</f>
        <v>0.37656981200100598</v>
      </c>
      <c r="Y252">
        <f>Inputs!$I$7*F252*Inputs!$G$7</f>
        <v>0</v>
      </c>
      <c r="Z252">
        <f>Inputs!$I$8*G252*Inputs!$G$8</f>
        <v>0</v>
      </c>
      <c r="AA252">
        <f>Inputs!$I$9*H252*Inputs!$G$9</f>
        <v>0</v>
      </c>
      <c r="AB252">
        <f t="shared" si="32"/>
        <v>0.51879624115390077</v>
      </c>
      <c r="AD252">
        <f>Inputs!$I$2*ABS(A252-1)*Inputs!$H$2</f>
        <v>3.0082304526748989E-2</v>
      </c>
      <c r="AE252">
        <f>Inputs!$I$3*ABS(B252-1)*Inputs!$H$3</f>
        <v>1.1405796839520112E-2</v>
      </c>
      <c r="AF252">
        <f>Inputs!$I$4*ABS(C252-1)*Inputs!$H$4</f>
        <v>0</v>
      </c>
      <c r="AG252">
        <f>Inputs!$I$5*ABS(D252-1)*Inputs!$H$5</f>
        <v>3.0032539984442563E-2</v>
      </c>
      <c r="AH252">
        <f>Inputs!$I$6*ABS(E252-1)*Inputs!$H$6</f>
        <v>0</v>
      </c>
      <c r="AI252">
        <f>Inputs!$I$7*ABS(F252-1)*Inputs!$H$7</f>
        <v>1.49493001411365E-2</v>
      </c>
      <c r="AJ252">
        <f>Inputs!$I$8*ABS(G252-1)*Inputs!$H$8</f>
        <v>5.8391635937893226E-2</v>
      </c>
      <c r="AK252">
        <f>Inputs!$I$9*ABS(H252-1)*Inputs!$H$9</f>
        <v>1.3048927592764261E-2</v>
      </c>
      <c r="AL252">
        <f t="shared" si="28"/>
        <v>-0.15791050502250567</v>
      </c>
      <c r="AN252" s="1">
        <f t="shared" si="29"/>
        <v>0.36088573613139507</v>
      </c>
      <c r="AO252">
        <f t="shared" si="33"/>
        <v>2.1120612153504811E-4</v>
      </c>
      <c r="AP252">
        <f t="shared" si="34"/>
        <v>8.3959026104200851E-4</v>
      </c>
      <c r="AQ252" s="26">
        <f t="shared" si="30"/>
        <v>1.0001803507914724</v>
      </c>
      <c r="AR252">
        <f t="shared" si="31"/>
        <v>-9.2416136123765028E-5</v>
      </c>
    </row>
    <row r="253" spans="1:44" x14ac:dyDescent="0.25">
      <c r="A253">
        <v>0</v>
      </c>
      <c r="B253">
        <v>0</v>
      </c>
      <c r="C253">
        <v>1</v>
      </c>
      <c r="D253">
        <v>0</v>
      </c>
      <c r="E253">
        <v>0</v>
      </c>
      <c r="F253">
        <v>0</v>
      </c>
      <c r="G253">
        <v>0</v>
      </c>
      <c r="H253">
        <v>0</v>
      </c>
      <c r="J253">
        <f>(A253*Inputs!$E$2+ABS((A253-1))*(1-Inputs!$E$2))</f>
        <v>0.35</v>
      </c>
      <c r="K253">
        <f>(B253*Inputs!$E$3+ABS((B253-1))*(1-Inputs!$E$3))</f>
        <v>0.35</v>
      </c>
      <c r="L253">
        <f>(C253*Inputs!$E$4+ABS((C253-1))*(1-Inputs!$E$4))</f>
        <v>0.65</v>
      </c>
      <c r="M253">
        <f>(D253*Inputs!$E$5+ABS((D253-1))*(1-Inputs!$E$5))</f>
        <v>0.35</v>
      </c>
      <c r="N253">
        <f>(E253*Inputs!$E$6+ABS((E253-1))*(1-Inputs!$E$6))</f>
        <v>0.4</v>
      </c>
      <c r="O253">
        <f>(F253*Inputs!$E$7+ABS((F253-1))*(1-Inputs!$E$7))</f>
        <v>0.25</v>
      </c>
      <c r="P253">
        <f>(G253*Inputs!$E$8+ABS((G253-1))*(1-Inputs!$E$8))</f>
        <v>0.4</v>
      </c>
      <c r="Q253">
        <f>(H253*Inputs!$E$9+ABS((H253-1))*(1-Inputs!$E$9))</f>
        <v>0.35</v>
      </c>
      <c r="R253">
        <f t="shared" si="27"/>
        <v>3.9016249999999995E-4</v>
      </c>
      <c r="T253">
        <f>Inputs!$I$2*A253*Inputs!$G$2</f>
        <v>0</v>
      </c>
      <c r="U253">
        <f>Inputs!$I$3*B253*Inputs!$G$3</f>
        <v>0</v>
      </c>
      <c r="V253">
        <f>Inputs!$I$4*C253*Inputs!$G$4</f>
        <v>0.1422264291528948</v>
      </c>
      <c r="W253">
        <f>Inputs!$I$5*D253*Inputs!$G$5</f>
        <v>0</v>
      </c>
      <c r="X253">
        <f>Inputs!$I$6*E253*Inputs!$G$6</f>
        <v>0</v>
      </c>
      <c r="Y253">
        <f>Inputs!$I$7*F253*Inputs!$G$7</f>
        <v>0</v>
      </c>
      <c r="Z253">
        <f>Inputs!$I$8*G253*Inputs!$G$8</f>
        <v>0</v>
      </c>
      <c r="AA253">
        <f>Inputs!$I$9*H253*Inputs!$G$9</f>
        <v>0</v>
      </c>
      <c r="AB253">
        <f t="shared" si="32"/>
        <v>0.1422264291528948</v>
      </c>
      <c r="AD253">
        <f>Inputs!$I$2*ABS(A253-1)*Inputs!$H$2</f>
        <v>3.0082304526748989E-2</v>
      </c>
      <c r="AE253">
        <f>Inputs!$I$3*ABS(B253-1)*Inputs!$H$3</f>
        <v>1.1405796839520112E-2</v>
      </c>
      <c r="AF253">
        <f>Inputs!$I$4*ABS(C253-1)*Inputs!$H$4</f>
        <v>0</v>
      </c>
      <c r="AG253">
        <f>Inputs!$I$5*ABS(D253-1)*Inputs!$H$5</f>
        <v>3.0032539984442563E-2</v>
      </c>
      <c r="AH253">
        <f>Inputs!$I$6*ABS(E253-1)*Inputs!$H$6</f>
        <v>6.4042485034184693E-2</v>
      </c>
      <c r="AI253">
        <f>Inputs!$I$7*ABS(F253-1)*Inputs!$H$7</f>
        <v>1.49493001411365E-2</v>
      </c>
      <c r="AJ253">
        <f>Inputs!$I$8*ABS(G253-1)*Inputs!$H$8</f>
        <v>5.8391635937893226E-2</v>
      </c>
      <c r="AK253">
        <f>Inputs!$I$9*ABS(H253-1)*Inputs!$H$9</f>
        <v>1.3048927592764261E-2</v>
      </c>
      <c r="AL253">
        <f t="shared" si="28"/>
        <v>-0.22195299005669036</v>
      </c>
      <c r="AN253" s="1">
        <f t="shared" si="29"/>
        <v>-7.9726560903795568E-2</v>
      </c>
      <c r="AO253">
        <f t="shared" si="33"/>
        <v>-3.1106314318627132E-5</v>
      </c>
      <c r="AP253">
        <f t="shared" si="34"/>
        <v>1.0472831966352829E-3</v>
      </c>
      <c r="AQ253" s="26">
        <f t="shared" si="30"/>
        <v>0.99996758409387676</v>
      </c>
      <c r="AR253">
        <f t="shared" si="31"/>
        <v>-8.6597733482993443E-5</v>
      </c>
    </row>
    <row r="254" spans="1:44" x14ac:dyDescent="0.25">
      <c r="A254">
        <v>0</v>
      </c>
      <c r="B254">
        <v>0</v>
      </c>
      <c r="C254">
        <v>0</v>
      </c>
      <c r="D254">
        <v>1</v>
      </c>
      <c r="E254">
        <v>1</v>
      </c>
      <c r="F254">
        <v>0</v>
      </c>
      <c r="G254">
        <v>0</v>
      </c>
      <c r="H254">
        <v>0</v>
      </c>
      <c r="J254">
        <f>(A254*Inputs!$E$2+ABS((A254-1))*(1-Inputs!$E$2))</f>
        <v>0.35</v>
      </c>
      <c r="K254">
        <f>(B254*Inputs!$E$3+ABS((B254-1))*(1-Inputs!$E$3))</f>
        <v>0.35</v>
      </c>
      <c r="L254">
        <f>(C254*Inputs!$E$4+ABS((C254-1))*(1-Inputs!$E$4))</f>
        <v>0.35</v>
      </c>
      <c r="M254">
        <f>(D254*Inputs!$E$5+ABS((D254-1))*(1-Inputs!$E$5))</f>
        <v>0.65</v>
      </c>
      <c r="N254">
        <f>(E254*Inputs!$E$6+ABS((E254-1))*(1-Inputs!$E$6))</f>
        <v>0.6</v>
      </c>
      <c r="O254">
        <f>(F254*Inputs!$E$7+ABS((F254-1))*(1-Inputs!$E$7))</f>
        <v>0.25</v>
      </c>
      <c r="P254">
        <f>(G254*Inputs!$E$8+ABS((G254-1))*(1-Inputs!$E$8))</f>
        <v>0.4</v>
      </c>
      <c r="Q254">
        <f>(H254*Inputs!$E$9+ABS((H254-1))*(1-Inputs!$E$9))</f>
        <v>0.35</v>
      </c>
      <c r="R254">
        <f t="shared" si="27"/>
        <v>5.8524374999999987E-4</v>
      </c>
      <c r="T254">
        <f>Inputs!$I$2*A254*Inputs!$G$2</f>
        <v>0</v>
      </c>
      <c r="U254">
        <f>Inputs!$I$3*B254*Inputs!$G$3</f>
        <v>0</v>
      </c>
      <c r="V254">
        <f>Inputs!$I$4*C254*Inputs!$G$4</f>
        <v>0</v>
      </c>
      <c r="W254">
        <f>Inputs!$I$5*D254*Inputs!$G$5</f>
        <v>0.20551679322687164</v>
      </c>
      <c r="X254">
        <f>Inputs!$I$6*E254*Inputs!$G$6</f>
        <v>0.37656981200100598</v>
      </c>
      <c r="Y254">
        <f>Inputs!$I$7*F254*Inputs!$G$7</f>
        <v>0</v>
      </c>
      <c r="Z254">
        <f>Inputs!$I$8*G254*Inputs!$G$8</f>
        <v>0</v>
      </c>
      <c r="AA254">
        <f>Inputs!$I$9*H254*Inputs!$G$9</f>
        <v>0</v>
      </c>
      <c r="AB254">
        <f t="shared" si="32"/>
        <v>0.58208660522787758</v>
      </c>
      <c r="AD254">
        <f>Inputs!$I$2*ABS(A254-1)*Inputs!$H$2</f>
        <v>3.0082304526748989E-2</v>
      </c>
      <c r="AE254">
        <f>Inputs!$I$3*ABS(B254-1)*Inputs!$H$3</f>
        <v>1.1405796839520112E-2</v>
      </c>
      <c r="AF254">
        <f>Inputs!$I$4*ABS(C254-1)*Inputs!$H$4</f>
        <v>8.9678988679000853E-3</v>
      </c>
      <c r="AG254">
        <f>Inputs!$I$5*ABS(D254-1)*Inputs!$H$5</f>
        <v>0</v>
      </c>
      <c r="AH254">
        <f>Inputs!$I$6*ABS(E254-1)*Inputs!$H$6</f>
        <v>0</v>
      </c>
      <c r="AI254">
        <f>Inputs!$I$7*ABS(F254-1)*Inputs!$H$7</f>
        <v>1.49493001411365E-2</v>
      </c>
      <c r="AJ254">
        <f>Inputs!$I$8*ABS(G254-1)*Inputs!$H$8</f>
        <v>5.8391635937893226E-2</v>
      </c>
      <c r="AK254">
        <f>Inputs!$I$9*ABS(H254-1)*Inputs!$H$9</f>
        <v>1.3048927592764261E-2</v>
      </c>
      <c r="AL254">
        <f t="shared" si="28"/>
        <v>-0.13684586390596318</v>
      </c>
      <c r="AN254" s="1">
        <f t="shared" si="29"/>
        <v>0.44524074132191438</v>
      </c>
      <c r="AO254">
        <f t="shared" si="33"/>
        <v>2.6057436110401709E-4</v>
      </c>
      <c r="AP254">
        <f t="shared" si="34"/>
        <v>7.2549333969380749E-4</v>
      </c>
      <c r="AQ254" s="26">
        <f t="shared" si="30"/>
        <v>1.0002155544035127</v>
      </c>
      <c r="AR254">
        <f t="shared" si="31"/>
        <v>-8.008818656431552E-5</v>
      </c>
    </row>
    <row r="255" spans="1:44" x14ac:dyDescent="0.25">
      <c r="A255">
        <v>0</v>
      </c>
      <c r="B255">
        <v>0</v>
      </c>
      <c r="C255">
        <v>0</v>
      </c>
      <c r="D255">
        <v>1</v>
      </c>
      <c r="E255">
        <v>0</v>
      </c>
      <c r="F255">
        <v>0</v>
      </c>
      <c r="G255">
        <v>0</v>
      </c>
      <c r="H255">
        <v>0</v>
      </c>
      <c r="J255">
        <f>(A255*Inputs!$E$2+ABS((A255-1))*(1-Inputs!$E$2))</f>
        <v>0.35</v>
      </c>
      <c r="K255">
        <f>(B255*Inputs!$E$3+ABS((B255-1))*(1-Inputs!$E$3))</f>
        <v>0.35</v>
      </c>
      <c r="L255">
        <f>(C255*Inputs!$E$4+ABS((C255-1))*(1-Inputs!$E$4))</f>
        <v>0.35</v>
      </c>
      <c r="M255">
        <f>(D255*Inputs!$E$5+ABS((D255-1))*(1-Inputs!$E$5))</f>
        <v>0.65</v>
      </c>
      <c r="N255">
        <f>(E255*Inputs!$E$6+ABS((E255-1))*(1-Inputs!$E$6))</f>
        <v>0.4</v>
      </c>
      <c r="O255">
        <f>(F255*Inputs!$E$7+ABS((F255-1))*(1-Inputs!$E$7))</f>
        <v>0.25</v>
      </c>
      <c r="P255">
        <f>(G255*Inputs!$E$8+ABS((G255-1))*(1-Inputs!$E$8))</f>
        <v>0.4</v>
      </c>
      <c r="Q255">
        <f>(H255*Inputs!$E$9+ABS((H255-1))*(1-Inputs!$E$9))</f>
        <v>0.35</v>
      </c>
      <c r="R255">
        <f t="shared" si="27"/>
        <v>3.9016249999999995E-4</v>
      </c>
      <c r="T255">
        <f>Inputs!$I$2*A255*Inputs!$G$2</f>
        <v>0</v>
      </c>
      <c r="U255">
        <f>Inputs!$I$3*B255*Inputs!$G$3</f>
        <v>0</v>
      </c>
      <c r="V255">
        <f>Inputs!$I$4*C255*Inputs!$G$4</f>
        <v>0</v>
      </c>
      <c r="W255">
        <f>Inputs!$I$5*D255*Inputs!$G$5</f>
        <v>0.20551679322687164</v>
      </c>
      <c r="X255">
        <f>Inputs!$I$6*E255*Inputs!$G$6</f>
        <v>0</v>
      </c>
      <c r="Y255">
        <f>Inputs!$I$7*F255*Inputs!$G$7</f>
        <v>0</v>
      </c>
      <c r="Z255">
        <f>Inputs!$I$8*G255*Inputs!$G$8</f>
        <v>0</v>
      </c>
      <c r="AA255">
        <f>Inputs!$I$9*H255*Inputs!$G$9</f>
        <v>0</v>
      </c>
      <c r="AB255">
        <f t="shared" si="32"/>
        <v>0.20551679322687164</v>
      </c>
      <c r="AD255">
        <f>Inputs!$I$2*ABS(A255-1)*Inputs!$H$2</f>
        <v>3.0082304526748989E-2</v>
      </c>
      <c r="AE255">
        <f>Inputs!$I$3*ABS(B255-1)*Inputs!$H$3</f>
        <v>1.1405796839520112E-2</v>
      </c>
      <c r="AF255">
        <f>Inputs!$I$4*ABS(C255-1)*Inputs!$H$4</f>
        <v>8.9678988679000853E-3</v>
      </c>
      <c r="AG255">
        <f>Inputs!$I$5*ABS(D255-1)*Inputs!$H$5</f>
        <v>0</v>
      </c>
      <c r="AH255">
        <f>Inputs!$I$6*ABS(E255-1)*Inputs!$H$6</f>
        <v>6.4042485034184693E-2</v>
      </c>
      <c r="AI255">
        <f>Inputs!$I$7*ABS(F255-1)*Inputs!$H$7</f>
        <v>1.49493001411365E-2</v>
      </c>
      <c r="AJ255">
        <f>Inputs!$I$8*ABS(G255-1)*Inputs!$H$8</f>
        <v>5.8391635937893226E-2</v>
      </c>
      <c r="AK255">
        <f>Inputs!$I$9*ABS(H255-1)*Inputs!$H$9</f>
        <v>1.3048927592764261E-2</v>
      </c>
      <c r="AL255">
        <f t="shared" si="28"/>
        <v>-0.20088834894014787</v>
      </c>
      <c r="AN255" s="1">
        <f t="shared" si="29"/>
        <v>4.6284442867237652E-3</v>
      </c>
      <c r="AO255">
        <f t="shared" si="33"/>
        <v>1.8058453940188607E-6</v>
      </c>
      <c r="AP255">
        <f t="shared" si="34"/>
        <v>9.4221557782039292E-4</v>
      </c>
      <c r="AQ255" s="26">
        <f t="shared" si="30"/>
        <v>1.0000018016807404</v>
      </c>
      <c r="AR255">
        <f t="shared" si="31"/>
        <v>-7.8379100443360433E-5</v>
      </c>
    </row>
    <row r="256" spans="1:44" x14ac:dyDescent="0.25">
      <c r="A256">
        <v>0</v>
      </c>
      <c r="B256">
        <v>0</v>
      </c>
      <c r="C256">
        <v>0</v>
      </c>
      <c r="D256">
        <v>0</v>
      </c>
      <c r="E256">
        <v>1</v>
      </c>
      <c r="F256">
        <v>0</v>
      </c>
      <c r="G256">
        <v>0</v>
      </c>
      <c r="H256">
        <v>0</v>
      </c>
      <c r="J256">
        <f>(A256*Inputs!$E$2+ABS((A256-1))*(1-Inputs!$E$2))</f>
        <v>0.35</v>
      </c>
      <c r="K256">
        <f>(B256*Inputs!$E$3+ABS((B256-1))*(1-Inputs!$E$3))</f>
        <v>0.35</v>
      </c>
      <c r="L256">
        <f>(C256*Inputs!$E$4+ABS((C256-1))*(1-Inputs!$E$4))</f>
        <v>0.35</v>
      </c>
      <c r="M256">
        <f>(D256*Inputs!$E$5+ABS((D256-1))*(1-Inputs!$E$5))</f>
        <v>0.35</v>
      </c>
      <c r="N256">
        <f>(E256*Inputs!$E$6+ABS((E256-1))*(1-Inputs!$E$6))</f>
        <v>0.6</v>
      </c>
      <c r="O256">
        <f>(F256*Inputs!$E$7+ABS((F256-1))*(1-Inputs!$E$7))</f>
        <v>0.25</v>
      </c>
      <c r="P256">
        <f>(G256*Inputs!$E$8+ABS((G256-1))*(1-Inputs!$E$8))</f>
        <v>0.4</v>
      </c>
      <c r="Q256">
        <f>(H256*Inputs!$E$9+ABS((H256-1))*(1-Inputs!$E$9))</f>
        <v>0.35</v>
      </c>
      <c r="R256">
        <f t="shared" si="27"/>
        <v>3.1513124999999988E-4</v>
      </c>
      <c r="T256">
        <f>Inputs!$I$2*A256*Inputs!$G$2</f>
        <v>0</v>
      </c>
      <c r="U256">
        <f>Inputs!$I$3*B256*Inputs!$G$3</f>
        <v>0</v>
      </c>
      <c r="V256">
        <f>Inputs!$I$4*C256*Inputs!$G$4</f>
        <v>0</v>
      </c>
      <c r="W256">
        <f>Inputs!$I$5*D256*Inputs!$G$5</f>
        <v>0</v>
      </c>
      <c r="X256">
        <f>Inputs!$I$6*E256*Inputs!$G$6</f>
        <v>0.37656981200100598</v>
      </c>
      <c r="Y256">
        <f>Inputs!$I$7*F256*Inputs!$G$7</f>
        <v>0</v>
      </c>
      <c r="Z256">
        <f>Inputs!$I$8*G256*Inputs!$G$8</f>
        <v>0</v>
      </c>
      <c r="AA256">
        <f>Inputs!$I$9*H256*Inputs!$G$9</f>
        <v>0</v>
      </c>
      <c r="AB256">
        <f t="shared" si="32"/>
        <v>0.37656981200100598</v>
      </c>
      <c r="AD256">
        <f>Inputs!$I$2*ABS(A256-1)*Inputs!$H$2</f>
        <v>3.0082304526748989E-2</v>
      </c>
      <c r="AE256">
        <f>Inputs!$I$3*ABS(B256-1)*Inputs!$H$3</f>
        <v>1.1405796839520112E-2</v>
      </c>
      <c r="AF256">
        <f>Inputs!$I$4*ABS(C256-1)*Inputs!$H$4</f>
        <v>8.9678988679000853E-3</v>
      </c>
      <c r="AG256">
        <f>Inputs!$I$5*ABS(D256-1)*Inputs!$H$5</f>
        <v>3.0032539984442563E-2</v>
      </c>
      <c r="AH256">
        <f>Inputs!$I$6*ABS(E256-1)*Inputs!$H$6</f>
        <v>0</v>
      </c>
      <c r="AI256">
        <f>Inputs!$I$7*ABS(F256-1)*Inputs!$H$7</f>
        <v>1.49493001411365E-2</v>
      </c>
      <c r="AJ256">
        <f>Inputs!$I$8*ABS(G256-1)*Inputs!$H$8</f>
        <v>5.8391635937893226E-2</v>
      </c>
      <c r="AK256">
        <f>Inputs!$I$9*ABS(H256-1)*Inputs!$H$9</f>
        <v>1.3048927592764261E-2</v>
      </c>
      <c r="AL256">
        <f t="shared" si="28"/>
        <v>-0.16687840389040576</v>
      </c>
      <c r="AN256" s="1">
        <f t="shared" si="29"/>
        <v>0.20969140811060022</v>
      </c>
      <c r="AO256">
        <f t="shared" si="33"/>
        <v>6.6080315552153557E-5</v>
      </c>
      <c r="AP256">
        <f t="shared" si="34"/>
        <v>5.7342677811835754E-4</v>
      </c>
      <c r="AQ256" s="26">
        <f t="shared" si="30"/>
        <v>1.0000599918520094</v>
      </c>
      <c r="AR256">
        <f t="shared" si="31"/>
        <v>-5.2588600015988411E-5</v>
      </c>
    </row>
    <row r="257" spans="1:44" x14ac:dyDescent="0.25">
      <c r="A257">
        <v>0</v>
      </c>
      <c r="B257">
        <v>0</v>
      </c>
      <c r="C257">
        <v>0</v>
      </c>
      <c r="D257">
        <v>0</v>
      </c>
      <c r="E257">
        <v>0</v>
      </c>
      <c r="F257">
        <v>0</v>
      </c>
      <c r="G257">
        <v>0</v>
      </c>
      <c r="H257">
        <v>0</v>
      </c>
      <c r="J257">
        <f>(A257*Inputs!$E$2+ABS((A257-1))*(1-Inputs!$E$2))</f>
        <v>0.35</v>
      </c>
      <c r="K257">
        <f>(B257*Inputs!$E$3+ABS((B257-1))*(1-Inputs!$E$3))</f>
        <v>0.35</v>
      </c>
      <c r="L257">
        <f>(C257*Inputs!$E$4+ABS((C257-1))*(1-Inputs!$E$4))</f>
        <v>0.35</v>
      </c>
      <c r="M257">
        <f>(D257*Inputs!$E$5+ABS((D257-1))*(1-Inputs!$E$5))</f>
        <v>0.35</v>
      </c>
      <c r="N257">
        <f>(E257*Inputs!$E$6+ABS((E257-1))*(1-Inputs!$E$6))</f>
        <v>0.4</v>
      </c>
      <c r="O257">
        <f>(F257*Inputs!$E$7+ABS((F257-1))*(1-Inputs!$E$7))</f>
        <v>0.25</v>
      </c>
      <c r="P257">
        <f>(G257*Inputs!$E$8+ABS((G257-1))*(1-Inputs!$E$8))</f>
        <v>0.4</v>
      </c>
      <c r="Q257">
        <f>(H257*Inputs!$E$9+ABS((H257-1))*(1-Inputs!$E$9))</f>
        <v>0.35</v>
      </c>
      <c r="R257">
        <f t="shared" si="27"/>
        <v>2.1008749999999995E-4</v>
      </c>
      <c r="T257">
        <f>Inputs!$I$2*A257*Inputs!$G$2</f>
        <v>0</v>
      </c>
      <c r="U257">
        <f>Inputs!$I$3*B257*Inputs!$G$3</f>
        <v>0</v>
      </c>
      <c r="V257">
        <f>Inputs!$I$4*C257*Inputs!$G$4</f>
        <v>0</v>
      </c>
      <c r="W257">
        <f>Inputs!$I$5*D257*Inputs!$G$5</f>
        <v>0</v>
      </c>
      <c r="X257">
        <f>Inputs!$I$6*E257*Inputs!$G$6</f>
        <v>0</v>
      </c>
      <c r="Y257">
        <f>Inputs!$I$7*F257*Inputs!$G$7</f>
        <v>0</v>
      </c>
      <c r="Z257">
        <f>Inputs!$I$8*G257*Inputs!$G$8</f>
        <v>0</v>
      </c>
      <c r="AA257">
        <f>Inputs!$I$9*H257*Inputs!$G$9</f>
        <v>0</v>
      </c>
      <c r="AB257">
        <f t="shared" si="32"/>
        <v>0</v>
      </c>
      <c r="AD257">
        <f>Inputs!$I$2*ABS(A257-1)*Inputs!$H$2</f>
        <v>3.0082304526748989E-2</v>
      </c>
      <c r="AE257">
        <f>Inputs!$I$3*ABS(B257-1)*Inputs!$H$3</f>
        <v>1.1405796839520112E-2</v>
      </c>
      <c r="AF257">
        <f>Inputs!$I$4*ABS(C257-1)*Inputs!$H$4</f>
        <v>8.9678988679000853E-3</v>
      </c>
      <c r="AG257">
        <f>Inputs!$I$5*ABS(D257-1)*Inputs!$H$5</f>
        <v>3.0032539984442563E-2</v>
      </c>
      <c r="AH257">
        <f>Inputs!$I$6*ABS(E257-1)*Inputs!$H$6</f>
        <v>6.4042485034184693E-2</v>
      </c>
      <c r="AI257">
        <f>Inputs!$I$7*ABS(F257-1)*Inputs!$H$7</f>
        <v>1.49493001411365E-2</v>
      </c>
      <c r="AJ257">
        <f>Inputs!$I$8*ABS(G257-1)*Inputs!$H$8</f>
        <v>5.8391635937893226E-2</v>
      </c>
      <c r="AK257">
        <f>Inputs!$I$9*ABS(H257-1)*Inputs!$H$9</f>
        <v>1.3048927592764261E-2</v>
      </c>
      <c r="AL257">
        <f t="shared" si="28"/>
        <v>-0.23092088892459042</v>
      </c>
      <c r="AN257" s="1">
        <f t="shared" si="29"/>
        <v>-0.23092088892459042</v>
      </c>
      <c r="AO257">
        <f t="shared" si="33"/>
        <v>-4.8513592251944882E-5</v>
      </c>
      <c r="AP257">
        <f t="shared" si="34"/>
        <v>6.728061160866162E-4</v>
      </c>
      <c r="AQ257" s="26">
        <f t="shared" si="30"/>
        <v>0.99994484064491074</v>
      </c>
      <c r="AR257">
        <f t="shared" si="31"/>
        <v>-4.8513592251944882E-5</v>
      </c>
    </row>
    <row r="258" spans="1:44" x14ac:dyDescent="0.25">
      <c r="AO258" s="7">
        <f>SUM(AO2:AO257)</f>
        <v>1.5586333212774415</v>
      </c>
      <c r="AP258" s="8">
        <f>SUM(AP2:AP257)</f>
        <v>0.32317269531402076</v>
      </c>
      <c r="AQ258">
        <f>PRODUCT(AQ2:AQ257)</f>
        <v>2.4891607410257319</v>
      </c>
      <c r="AR258" s="8">
        <f>SUM(AR2:AR257)</f>
        <v>-8.5449087158096959E-2</v>
      </c>
    </row>
    <row r="259" spans="1:44" x14ac:dyDescent="0.25">
      <c r="AP259">
        <f>AO258/AP258^0.5</f>
        <v>2.7417422617844576</v>
      </c>
    </row>
  </sheetData>
  <scenarios current="0">
    <scenario name="1" count="5" user="Author">
      <inputCells r="E2" undone="1" val="0.2"/>
      <inputCells r="D2" undone="1" val="0.2"/>
      <inputCells r="C2" undone="1" val="0.2"/>
      <inputCells r="B2" undone="1" val="0.2"/>
      <inputCells r="A2" undone="1" val="0.2"/>
    </scenario>
  </scenario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Inputs</vt:lpstr>
      <vt:lpstr>backend</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2022-08-26T18:34:11Z</dcterms:created>
  <dcterms:modified xsi:type="dcterms:W3CDTF">2022-08-26T18:34:50Z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2022-08-26T18:34:48Z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1ed22cb7-5c9b-49d7-8fc7-901b5a623743</vt:lpwstr>
  </property>
  <property fmtid="{D5CDD505-2E9C-101B-9397-08002B2CF9AE}" pid="8" name="MSIP_Label_36791f77-3d39-4d72-9277-ac879ec799ed_ContentBits">
    <vt:lpwstr>0</vt:lpwstr>
  </property>
</Properties>
</file>