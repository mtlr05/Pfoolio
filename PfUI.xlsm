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C:\Users\z003eb4h\Documents\codes\GitHub\Pfoolio\"/>
    </mc:Choice>
  </mc:AlternateContent>
  <xr:revisionPtr revIDLastSave="0" documentId="13_ncr:1_{A1CA4FF6-2FC5-47E5-8145-DF2B2383ACF6}" xr6:coauthVersionLast="47" xr6:coauthVersionMax="47" xr10:uidLastSave="{00000000-0000-0000-0000-000000000000}"/>
  <bookViews>
    <workbookView xWindow="-108" yWindow="-108" windowWidth="23256" windowHeight="12576" tabRatio="500" xr2:uid="{00000000-000D-0000-FFFF-FFFF00000000}"/>
  </bookViews>
  <sheets>
    <sheet name="Inputs" sheetId="3" r:id="rId1"/>
    <sheet name="Sheet1" sheetId="1" state="hidden" r:id="rId2"/>
    <sheet name="_xlwings.conf" sheetId="2" state="hidden" r:id="rId3"/>
  </sheets>
  <functionGroups builtInGroupCount="19"/>
  <definedNames>
    <definedName name="solver_adj" localSheetId="0" hidden="1">Inputs!$I$2:$I$21</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Inputs!$B$30</definedName>
    <definedName name="solver_lhs2" localSheetId="0" hidden="1">Inputs!$I$2</definedName>
    <definedName name="solver_lhs3" localSheetId="0" hidden="1">Inputs!$I$3</definedName>
    <definedName name="solver_lhs4" localSheetId="0" hidden="1">Inputs!$I$4</definedName>
    <definedName name="solver_lhs5" localSheetId="0" hidden="1">Inputs!$I$5</definedName>
    <definedName name="solver_lhs6" localSheetId="0" hidden="1">Inputs!$I$6</definedName>
    <definedName name="solver_lhs7" localSheetId="0" hidden="1">Inputs!$I$7</definedName>
    <definedName name="solver_lhs8" localSheetId="0" hidden="1">Inputs!$I$8</definedName>
    <definedName name="solver_lhs9" localSheetId="0" hidden="1">Inputs!#REF!</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9</definedName>
    <definedName name="solver_nwt" localSheetId="0" hidden="1">1</definedName>
    <definedName name="solver_opt" localSheetId="0" hidden="1">Inputs!#REF!</definedName>
    <definedName name="solver_pre" localSheetId="0" hidden="1">0.000001</definedName>
    <definedName name="solver_rbv" localSheetId="0" hidden="1">2</definedName>
    <definedName name="solver_rel1" localSheetId="0" hidden="1">1</definedName>
    <definedName name="solver_rel2" localSheetId="0" hidden="1">1</definedName>
    <definedName name="solver_rel3" localSheetId="0" hidden="1">1</definedName>
    <definedName name="solver_rel4" localSheetId="0" hidden="1">1</definedName>
    <definedName name="solver_rel5" localSheetId="0" hidden="1">1</definedName>
    <definedName name="solver_rel6" localSheetId="0" hidden="1">1</definedName>
    <definedName name="solver_rel7" localSheetId="0" hidden="1">1</definedName>
    <definedName name="solver_rel8" localSheetId="0" hidden="1">1</definedName>
    <definedName name="solver_rel9" localSheetId="0" hidden="1">1</definedName>
    <definedName name="solver_rhs1" localSheetId="0" hidden="1">Inputs!$B$28</definedName>
    <definedName name="solver_rhs2" localSheetId="0" hidden="1">Inputs!$B$29</definedName>
    <definedName name="solver_rhs3" localSheetId="0" hidden="1">Inputs!$B$29</definedName>
    <definedName name="solver_rhs4" localSheetId="0" hidden="1">Inputs!$B$29</definedName>
    <definedName name="solver_rhs5" localSheetId="0" hidden="1">Inputs!$B$29</definedName>
    <definedName name="solver_rhs6" localSheetId="0" hidden="1">Inputs!$B$29</definedName>
    <definedName name="solver_rhs7" localSheetId="0" hidden="1">Inputs!$B$29</definedName>
    <definedName name="solver_rhs8" localSheetId="0" hidden="1">Inputs!$B$29</definedName>
    <definedName name="solver_rhs9" localSheetId="0" hidden="1">Inputs!$B$29</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4" i="3" l="1" a="1"/>
  <c r="B14" i="3" s="1"/>
  <c r="B2" i="3" l="1" a="1"/>
  <c r="B2" i="3" s="1"/>
  <c r="F2" i="3"/>
  <c r="B3" i="3" a="1"/>
  <c r="B3" i="3" s="1"/>
  <c r="F3" i="3"/>
  <c r="B4" i="3" a="1"/>
  <c r="B4" i="3" s="1"/>
  <c r="F4" i="3"/>
  <c r="B5" i="3" a="1"/>
  <c r="B5" i="3" s="1"/>
  <c r="F5" i="3"/>
  <c r="B6" i="3" a="1"/>
  <c r="B6" i="3" s="1"/>
  <c r="F6" i="3"/>
  <c r="B7" i="3" a="1"/>
  <c r="B7" i="3" s="1"/>
  <c r="F7" i="3"/>
  <c r="B8" i="3" a="1"/>
  <c r="B8" i="3" s="1"/>
  <c r="F8" i="3"/>
  <c r="B9" i="3" a="1"/>
  <c r="B9" i="3" s="1"/>
  <c r="F9" i="3"/>
  <c r="B10" i="3" a="1"/>
  <c r="B10" i="3" s="1"/>
  <c r="F10" i="3"/>
  <c r="B11" i="3" a="1"/>
  <c r="B11" i="3" s="1"/>
  <c r="H11" i="3" s="1"/>
  <c r="C11" i="3"/>
  <c r="F11" i="3"/>
  <c r="B12" i="3" a="1"/>
  <c r="B12" i="3" s="1"/>
  <c r="F12" i="3"/>
  <c r="B13" i="3" a="1"/>
  <c r="B13" i="3" s="1"/>
  <c r="F13" i="3"/>
  <c r="F14" i="3"/>
  <c r="B15" i="3" a="1"/>
  <c r="B15" i="3" s="1"/>
  <c r="F15" i="3"/>
  <c r="B16" i="3" a="1"/>
  <c r="B16" i="3" s="1"/>
  <c r="F16" i="3"/>
  <c r="B17" i="3" a="1"/>
  <c r="B17" i="3" s="1"/>
  <c r="F17" i="3"/>
  <c r="B18" i="3" a="1"/>
  <c r="B18" i="3" s="1"/>
  <c r="F18" i="3"/>
  <c r="B19" i="3" a="1"/>
  <c r="B19" i="3" s="1"/>
  <c r="F19" i="3"/>
  <c r="B20" i="3" a="1"/>
  <c r="B20" i="3" s="1"/>
  <c r="F20" i="3"/>
  <c r="B21" i="3" a="1"/>
  <c r="B21" i="3" s="1"/>
  <c r="F21" i="3"/>
  <c r="B23" i="3" l="1"/>
  <c r="G11" i="3"/>
  <c r="L11" i="3" s="1"/>
  <c r="G16" i="3"/>
  <c r="H16" i="3"/>
  <c r="J16" i="3" s="1"/>
  <c r="K16" i="3" s="1"/>
  <c r="G8" i="3"/>
  <c r="H8" i="3"/>
  <c r="G15" i="3"/>
  <c r="H15" i="3"/>
  <c r="J15" i="3" s="1"/>
  <c r="K15" i="3" s="1"/>
  <c r="G7" i="3"/>
  <c r="H7" i="3"/>
  <c r="G5" i="3"/>
  <c r="H5" i="3"/>
  <c r="G14" i="3"/>
  <c r="H14" i="3"/>
  <c r="G6" i="3"/>
  <c r="H6" i="3"/>
  <c r="G21" i="3"/>
  <c r="L21" i="3" s="1"/>
  <c r="H21" i="3"/>
  <c r="G13" i="3"/>
  <c r="H13" i="3"/>
  <c r="G20" i="3"/>
  <c r="H20" i="3"/>
  <c r="J20" i="3" s="1"/>
  <c r="K20" i="3" s="1"/>
  <c r="G12" i="3"/>
  <c r="H12" i="3"/>
  <c r="G4" i="3"/>
  <c r="H4" i="3"/>
  <c r="G3" i="3"/>
  <c r="H3" i="3"/>
  <c r="G18" i="3"/>
  <c r="L18" i="3" s="1"/>
  <c r="H18" i="3"/>
  <c r="J18" i="3" s="1"/>
  <c r="K18" i="3" s="1"/>
  <c r="G19" i="3"/>
  <c r="H19" i="3"/>
  <c r="G10" i="3"/>
  <c r="H10" i="3"/>
  <c r="G9" i="3"/>
  <c r="H9" i="3"/>
  <c r="G2" i="3"/>
  <c r="H2" i="3"/>
  <c r="G17" i="3"/>
  <c r="H17" i="3"/>
  <c r="J17" i="3" s="1"/>
  <c r="K17" i="3" s="1"/>
  <c r="J14" i="3" l="1"/>
  <c r="K14" i="3" s="1"/>
  <c r="L16" i="3"/>
  <c r="J19" i="3"/>
  <c r="K19" i="3" s="1"/>
  <c r="J12" i="3"/>
  <c r="K12" i="3" s="1"/>
  <c r="J2" i="3"/>
  <c r="K2" i="3" s="1"/>
  <c r="J9" i="3"/>
  <c r="K9" i="3" s="1"/>
  <c r="J10" i="3"/>
  <c r="K10" i="3" s="1"/>
  <c r="J4" i="3"/>
  <c r="K4" i="3" s="1"/>
  <c r="J7" i="3"/>
  <c r="K7" i="3" s="1"/>
  <c r="J6" i="3"/>
  <c r="K6" i="3" s="1"/>
  <c r="L8" i="3"/>
  <c r="J11" i="3"/>
  <c r="K11" i="3" s="1"/>
  <c r="L5" i="3"/>
  <c r="J13" i="3"/>
  <c r="K13" i="3" s="1"/>
  <c r="L3" i="3"/>
  <c r="J21" i="3"/>
  <c r="K21" i="3" s="1"/>
  <c r="L14" i="3"/>
  <c r="J3" i="3"/>
  <c r="K3" i="3" s="1"/>
  <c r="J5" i="3"/>
  <c r="K5" i="3" s="1"/>
  <c r="L6" i="3"/>
  <c r="L10" i="3"/>
  <c r="L13" i="3"/>
  <c r="L17" i="3"/>
  <c r="L4" i="3"/>
  <c r="L7" i="3"/>
  <c r="L15" i="3"/>
  <c r="J8" i="3"/>
  <c r="K8" i="3" s="1"/>
  <c r="L19" i="3"/>
  <c r="L2" i="3"/>
  <c r="L12" i="3"/>
  <c r="L9" i="3"/>
  <c r="L2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5">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39"/>
        </ext>
      </extLst>
    </bk>
    <bk>
      <extLst>
        <ext uri="{3e2802c4-a4d2-4d8b-9148-e3be6c30e623}">
          <xlrd:rvb i="40"/>
        </ext>
      </extLst>
    </bk>
  </futureMetadata>
  <cellMetadata count="1">
    <bk>
      <rc t="1" v="0"/>
    </bk>
  </cellMetadata>
  <valueMetadata count="15">
    <bk>
      <rc t="2" v="0"/>
    </bk>
    <bk>
      <rc t="2" v="1"/>
    </bk>
    <bk>
      <rc t="2" v="2"/>
    </bk>
    <bk>
      <rc t="2" v="3"/>
    </bk>
    <bk>
      <rc t="2" v="4"/>
    </bk>
    <bk>
      <rc t="2" v="5"/>
    </bk>
    <bk>
      <rc t="2" v="6"/>
    </bk>
    <bk>
      <rc t="2" v="7"/>
    </bk>
    <bk>
      <rc t="2" v="8"/>
    </bk>
    <bk>
      <rc t="2" v="9"/>
    </bk>
    <bk>
      <rc t="2" v="10"/>
    </bk>
    <bk>
      <rc t="2" v="11"/>
    </bk>
    <bk>
      <rc t="2" v="12"/>
    </bk>
    <bk>
      <rc t="2" v="13"/>
    </bk>
    <bk>
      <rc t="2" v="14"/>
    </bk>
  </valueMetadata>
</metadata>
</file>

<file path=xl/sharedStrings.xml><?xml version="1.0" encoding="utf-8"?>
<sst xmlns="http://schemas.openxmlformats.org/spreadsheetml/2006/main" count="39" uniqueCount="39">
  <si>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</si>
  <si>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</si>
  <si>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</si>
  <si>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</si>
  <si>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</si>
  <si>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</si>
  <si>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</si>
  <si>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</si>
  <si>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</si>
  <si>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</si>
  <si>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</si>
  <si>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</si>
  <si>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</si>
  <si>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python</t>
  </si>
  <si>
    <t>Rename this sheet to "xlwings.conf" to activate it (remove the leading underscore).  The settings have to start in cell A1.</t>
  </si>
  <si>
    <t>= for info</t>
  </si>
  <si>
    <t>= calculated</t>
  </si>
  <si>
    <t>= input</t>
  </si>
  <si>
    <t>= automatically updated</t>
  </si>
  <si>
    <t>f, bankroll fraction</t>
  </si>
  <si>
    <t>Analytically calculated growth, f=100%
E(g)</t>
  </si>
  <si>
    <t>Analytically calculated growth, f=f*
E(g)</t>
  </si>
  <si>
    <r>
      <rPr>
        <b/>
        <sz val="10"/>
        <color theme="1"/>
        <rFont val="Arial"/>
        <family val="2"/>
      </rPr>
      <t>Analytical f*, 
for a single position</t>
    </r>
    <r>
      <rPr>
        <sz val="12"/>
        <color theme="1"/>
        <rFont val="Calibri"/>
        <family val="2"/>
        <scheme val="minor"/>
      </rPr>
      <t xml:space="preserve"> 
[% to invest]</t>
    </r>
  </si>
  <si>
    <r>
      <t xml:space="preserve">Wi, 
</t>
    </r>
    <r>
      <rPr>
        <sz val="12"/>
        <color theme="1"/>
        <rFont val="Calibri"/>
        <family val="2"/>
        <scheme val="minor"/>
      </rPr>
      <t>Portfolio weight</t>
    </r>
  </si>
  <si>
    <r>
      <rPr>
        <b/>
        <sz val="10"/>
        <color theme="1"/>
        <rFont val="Arial"/>
        <family val="2"/>
      </rPr>
      <t>a</t>
    </r>
    <r>
      <rPr>
        <sz val="12"/>
        <color theme="1"/>
        <rFont val="Calibri"/>
        <family val="2"/>
        <scheme val="minor"/>
      </rPr>
      <t xml:space="preserve">
loss</t>
    </r>
  </si>
  <si>
    <r>
      <rPr>
        <b/>
        <sz val="10"/>
        <color theme="1"/>
        <rFont val="Arial"/>
        <family val="2"/>
      </rPr>
      <t xml:space="preserve">b </t>
    </r>
    <r>
      <rPr>
        <sz val="12"/>
        <color theme="1"/>
        <rFont val="Calibri"/>
        <family val="2"/>
        <scheme val="minor"/>
      </rPr>
      <t xml:space="preserve">
gain</t>
    </r>
  </si>
  <si>
    <r>
      <rPr>
        <b/>
        <sz val="10"/>
        <color theme="1"/>
        <rFont val="Arial"/>
        <family val="2"/>
      </rPr>
      <t>q =p-1</t>
    </r>
    <r>
      <rPr>
        <sz val="12"/>
        <color theme="1"/>
        <rFont val="Calibri"/>
        <family val="2"/>
        <scheme val="minor"/>
      </rPr>
      <t xml:space="preserve">
</t>
    </r>
    <r>
      <rPr>
        <sz val="12"/>
        <color theme="1"/>
        <rFont val="Calibri"/>
        <family val="2"/>
        <scheme val="minor"/>
      </rPr>
      <t>Downside probability</t>
    </r>
  </si>
  <si>
    <r>
      <rPr>
        <b/>
        <sz val="10"/>
        <color theme="1"/>
        <rFont val="Arial"/>
        <family val="2"/>
      </rPr>
      <t xml:space="preserve">p </t>
    </r>
    <r>
      <rPr>
        <sz val="12"/>
        <color theme="1"/>
        <rFont val="Calibri"/>
        <family val="2"/>
        <scheme val="minor"/>
      </rPr>
      <t xml:space="preserve">
</t>
    </r>
    <r>
      <rPr>
        <sz val="12"/>
        <color theme="1"/>
        <rFont val="Calibri"/>
        <family val="2"/>
        <scheme val="minor"/>
      </rPr>
      <t>Upside probabilty</t>
    </r>
  </si>
  <si>
    <t>Current Price</t>
  </si>
  <si>
    <t>Objective Weighting factor, t</t>
  </si>
  <si>
    <t>Stocks</t>
  </si>
  <si>
    <t>Years to price target</t>
  </si>
  <si>
    <t>Max Leverage, Fmax</t>
  </si>
  <si>
    <t>Max postion size, fmax</t>
  </si>
  <si>
    <r>
      <t xml:space="preserve">= calculated using the </t>
    </r>
    <r>
      <rPr>
        <b/>
        <sz val="10"/>
        <color theme="1"/>
        <rFont val="Arial"/>
        <family val="2"/>
      </rPr>
      <t>Optimize</t>
    </r>
    <r>
      <rPr>
        <sz val="12"/>
        <color theme="1"/>
        <rFont val="Calibri"/>
        <family val="2"/>
        <scheme val="minor"/>
      </rPr>
      <t xml:space="preserve"> button</t>
    </r>
  </si>
  <si>
    <r>
      <rPr>
        <b/>
        <sz val="10"/>
        <color theme="1"/>
        <rFont val="Arial"/>
        <family val="2"/>
      </rPr>
      <t>b</t>
    </r>
    <r>
      <rPr>
        <sz val="10"/>
        <color theme="1"/>
        <rFont val="Arial"/>
        <family val="2"/>
      </rPr>
      <t>, 
Upside</t>
    </r>
  </si>
  <si>
    <r>
      <rPr>
        <b/>
        <sz val="10"/>
        <color theme="1"/>
        <rFont val="Arial"/>
        <family val="2"/>
      </rPr>
      <t>a</t>
    </r>
    <r>
      <rPr>
        <sz val="10"/>
        <color theme="1"/>
        <rFont val="Arial"/>
        <family val="2"/>
      </rPr>
      <t>, 
Downside</t>
    </r>
  </si>
  <si>
    <t>Return: Growth, E(g)</t>
  </si>
  <si>
    <t>Risk: Semi-deviation below 20% return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</si>
</sst>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_([$$-409]* #,##0.00_);_([$$-409]* \(#,##0.00\);_([$$-409]* &quot;-&quot;??_);_(@_)"/>
    <numFmt numFmtId="166" formatCode="0.0000000000000000%"/>
    <numFmt numFmtId="167" formatCode="_-[$$-409]* #,##0.00_ ;_-[$$-409]* \-#,##0.00\ ;_-[$$-409]* &quot;-&quot;??_ ;_-@_ "/>
    <numFmt numFmtId="168" formatCode="0.0"/>
    <numFmt numFmtId="169" formatCode="0.000"/>
  </numFmts>
  <fonts count="6" x14ac:knownFonts="1">
    <font>
      <sz val="12"/>
      <color theme="1"/>
      <name val="Calibri"/>
      <family val="2"/>
      <scheme val="minor"/>
    </font>
    <font>
      <sz val="10"/>
      <color theme="1"/>
      <name val="Arial"/>
      <family val="2"/>
    </font>
    <font>
      <b/>
      <sz val="12"/>
      <color theme="1"/>
      <name val="Calibri"/>
      <family val="2"/>
      <scheme val="minor"/>
    </font>
    <font>
      <b/>
      <sz val="10"/>
      <color theme="1"/>
      <name val="Arial"/>
      <family val="2"/>
    </font>
    <font>
      <b/>
      <sz val="12"/>
      <color theme="1"/>
      <name val="Arial"/>
      <family val="2"/>
    </font>
    <font>
      <b/>
      <sz val="12"/>
      <color rgb="FF000000"/>
      <name val="Arial"/>
      <family val="2"/>
    </font>
  </fonts>
  <fills count="8">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cellStyleXfs>
  <cellXfs count="36">
    <xf numFmtId="0" fontId="0" fillId="0" borderId="0" xfId="0"/>
    <xf numFmtId="0" fontId="0" fillId="0" borderId="0" xfId="0" applyAlignment="1">
      <alignment vertical="center"/>
    </xf>
    <xf numFmtId="0" fontId="2" fillId="0" borderId="0" xfId="0" applyFont="1" applyAlignment="1">
      <alignment vertical="center"/>
    </xf>
    <xf numFmtId="0" fontId="1" fillId="0" borderId="0" xfId="6"/>
    <xf numFmtId="0" fontId="1" fillId="0" borderId="0" xfId="6" quotePrefix="1"/>
    <xf numFmtId="0" fontId="1" fillId="2" borderId="1" xfId="6" applyFill="1" applyBorder="1"/>
    <xf numFmtId="0" fontId="1" fillId="3" borderId="1" xfId="6" applyFill="1" applyBorder="1"/>
    <xf numFmtId="0" fontId="1" fillId="4" borderId="1" xfId="6" applyFill="1" applyBorder="1"/>
    <xf numFmtId="0" fontId="1" fillId="5" borderId="1" xfId="6" applyFill="1" applyBorder="1"/>
    <xf numFmtId="0" fontId="1" fillId="6" borderId="1" xfId="6" applyFill="1" applyBorder="1"/>
    <xf numFmtId="164" fontId="1" fillId="0" borderId="0" xfId="6" applyNumberFormat="1"/>
    <xf numFmtId="165" fontId="1" fillId="0" borderId="0" xfId="6" applyNumberFormat="1"/>
    <xf numFmtId="166" fontId="1" fillId="0" borderId="0" xfId="6" applyNumberFormat="1"/>
    <xf numFmtId="167" fontId="1" fillId="0" borderId="0" xfId="6" applyNumberFormat="1"/>
    <xf numFmtId="164" fontId="1" fillId="5" borderId="1" xfId="6" applyNumberFormat="1" applyFill="1" applyBorder="1"/>
    <xf numFmtId="9" fontId="1" fillId="4" borderId="1" xfId="6" applyNumberFormat="1" applyFill="1" applyBorder="1"/>
    <xf numFmtId="168" fontId="1" fillId="5" borderId="1" xfId="6" applyNumberFormat="1" applyFill="1" applyBorder="1"/>
    <xf numFmtId="9" fontId="3" fillId="4" borderId="1" xfId="6" applyNumberFormat="1" applyFont="1" applyFill="1" applyBorder="1"/>
    <xf numFmtId="9" fontId="1" fillId="0" borderId="0" xfId="6" applyNumberFormat="1"/>
    <xf numFmtId="2" fontId="1" fillId="0" borderId="0" xfId="6" applyNumberFormat="1"/>
    <xf numFmtId="9" fontId="1" fillId="2" borderId="1" xfId="6" applyNumberFormat="1" applyFill="1" applyBorder="1"/>
    <xf numFmtId="169" fontId="1" fillId="2" borderId="1" xfId="6" applyNumberFormat="1" applyFill="1" applyBorder="1"/>
    <xf numFmtId="9" fontId="4" fillId="3" borderId="1" xfId="6" applyNumberFormat="1" applyFont="1" applyFill="1" applyBorder="1"/>
    <xf numFmtId="9" fontId="1" fillId="5" borderId="1" xfId="6" applyNumberFormat="1" applyFill="1" applyBorder="1"/>
    <xf numFmtId="1" fontId="1" fillId="5" borderId="1" xfId="6" applyNumberFormat="1" applyFill="1" applyBorder="1"/>
    <xf numFmtId="165" fontId="1" fillId="6" borderId="1" xfId="6" applyNumberFormat="1" applyFill="1" applyBorder="1"/>
    <xf numFmtId="0" fontId="1" fillId="7" borderId="2" xfId="6" applyFill="1" applyBorder="1"/>
    <xf numFmtId="0" fontId="1" fillId="7" borderId="3" xfId="6" applyFill="1" applyBorder="1"/>
    <xf numFmtId="0" fontId="1" fillId="7" borderId="4" xfId="6" applyFill="1" applyBorder="1"/>
    <xf numFmtId="0" fontId="1" fillId="0" borderId="0" xfId="6" applyAlignment="1">
      <alignment horizontal="left"/>
    </xf>
    <xf numFmtId="0" fontId="3" fillId="0" borderId="0" xfId="6" applyFont="1" applyAlignment="1">
      <alignment horizontal="left" wrapText="1"/>
    </xf>
    <xf numFmtId="0" fontId="1" fillId="0" borderId="0" xfId="6" applyAlignment="1">
      <alignment horizontal="left" wrapText="1"/>
    </xf>
    <xf numFmtId="0" fontId="4" fillId="0" borderId="0" xfId="6" applyFont="1"/>
    <xf numFmtId="0" fontId="3" fillId="4" borderId="1" xfId="6" applyFont="1" applyFill="1" applyBorder="1"/>
    <xf numFmtId="9" fontId="3" fillId="3" borderId="1" xfId="6" applyNumberFormat="1" applyFont="1" applyFill="1" applyBorder="1"/>
    <xf numFmtId="164" fontId="3" fillId="3" borderId="1" xfId="6" applyNumberFormat="1" applyFont="1" applyFill="1" applyBorder="1"/>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2" xfId="6" xr:uid="{4AD132E7-4846-4F56-8FB7-9ED69144488D}"/>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22</xdr:row>
          <xdr:rowOff>22860</xdr:rowOff>
        </xdr:from>
        <xdr:to>
          <xdr:col>11</xdr:col>
          <xdr:colOff>1066800</xdr:colOff>
          <xdr:row>29</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4" name="Speech Bubble: Rectangle 3">
          <a:extLst>
            <a:ext uri="{FF2B5EF4-FFF2-40B4-BE49-F238E27FC236}">
              <a16:creationId xmlns:a16="http://schemas.microsoft.com/office/drawing/2014/main" id="{00000000-0008-0000-0000-000004000000}"/>
            </a:ext>
          </a:extLst>
        </xdr:cNvPr>
        <xdr:cNvSpPr/>
      </xdr:nvSpPr>
      <xdr:spPr>
        <a:xfrm>
          <a:off x="610688" y="169817"/>
          <a:ext cx="605245" cy="108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5</xdr:col>
      <xdr:colOff>97969</xdr:colOff>
      <xdr:row>27</xdr:row>
      <xdr:rowOff>1</xdr:rowOff>
    </xdr:from>
    <xdr:to>
      <xdr:col>7</xdr:col>
      <xdr:colOff>141513</xdr:colOff>
      <xdr:row>32</xdr:row>
      <xdr:rowOff>69273</xdr:rowOff>
    </xdr:to>
    <xdr:sp macro="" textlink="">
      <xdr:nvSpPr>
        <xdr:cNvPr id="6" name="Speech Bubble: Rectangle 5">
          <a:extLst>
            <a:ext uri="{FF2B5EF4-FFF2-40B4-BE49-F238E27FC236}">
              <a16:creationId xmlns:a16="http://schemas.microsoft.com/office/drawing/2014/main" id="{00000000-0008-0000-0000-000006000000}"/>
            </a:ext>
          </a:extLst>
        </xdr:cNvPr>
        <xdr:cNvSpPr/>
      </xdr:nvSpPr>
      <xdr:spPr>
        <a:xfrm>
          <a:off x="7579424" y="6622474"/>
          <a:ext cx="2052453" cy="983672"/>
        </a:xfrm>
        <a:prstGeom prst="wedgeRectCallout">
          <a:avLst>
            <a:gd name="adj1" fmla="val -200446"/>
            <a:gd name="adj2" fmla="val -533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risk</a:t>
          </a:r>
          <a:endParaRPr lang="fr-CA" sz="900"/>
        </a:p>
      </xdr:txBody>
    </xdr:sp>
    <xdr:clientData/>
  </xdr:twoCellAnchor>
  <xdr:twoCellAnchor>
    <xdr:from>
      <xdr:col>2</xdr:col>
      <xdr:colOff>707570</xdr:colOff>
      <xdr:row>21</xdr:row>
      <xdr:rowOff>76199</xdr:rowOff>
    </xdr:from>
    <xdr:to>
      <xdr:col>5</xdr:col>
      <xdr:colOff>217714</xdr:colOff>
      <xdr:row>26</xdr:row>
      <xdr:rowOff>119743</xdr:rowOff>
    </xdr:to>
    <xdr:sp macro="" textlink="">
      <xdr:nvSpPr>
        <xdr:cNvPr id="7" name="Speech Bubble: Rectangle 6">
          <a:extLst>
            <a:ext uri="{FF2B5EF4-FFF2-40B4-BE49-F238E27FC236}">
              <a16:creationId xmlns:a16="http://schemas.microsoft.com/office/drawing/2014/main" id="{00000000-0008-0000-0000-000007000000}"/>
            </a:ext>
          </a:extLst>
        </xdr:cNvPr>
        <xdr:cNvSpPr/>
      </xdr:nvSpPr>
      <xdr:spPr>
        <a:xfrm>
          <a:off x="1827710" y="3596639"/>
          <a:ext cx="1438004" cy="881744"/>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9</xdr:col>
      <xdr:colOff>1151905</xdr:colOff>
      <xdr:row>30</xdr:row>
      <xdr:rowOff>130630</xdr:rowOff>
    </xdr:from>
    <xdr:to>
      <xdr:col>11</xdr:col>
      <xdr:colOff>987631</xdr:colOff>
      <xdr:row>36</xdr:row>
      <xdr:rowOff>138546</xdr:rowOff>
    </xdr:to>
    <xdr:sp macro="" textlink="">
      <xdr:nvSpPr>
        <xdr:cNvPr id="9" name="Speech Bubble: Rectangle 8">
          <a:extLst>
            <a:ext uri="{FF2B5EF4-FFF2-40B4-BE49-F238E27FC236}">
              <a16:creationId xmlns:a16="http://schemas.microsoft.com/office/drawing/2014/main" id="{00000000-0008-0000-0000-000009000000}"/>
            </a:ext>
          </a:extLst>
        </xdr:cNvPr>
        <xdr:cNvSpPr/>
      </xdr:nvSpPr>
      <xdr:spPr>
        <a:xfrm>
          <a:off x="12207832" y="7334994"/>
          <a:ext cx="2038599" cy="1005443"/>
        </a:xfrm>
        <a:prstGeom prst="wedgeRectCallout">
          <a:avLst>
            <a:gd name="adj1" fmla="val -96590"/>
            <a:gd name="adj2" fmla="val -600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32</xdr:row>
      <xdr:rowOff>21773</xdr:rowOff>
    </xdr:from>
    <xdr:to>
      <xdr:col>4</xdr:col>
      <xdr:colOff>1251855</xdr:colOff>
      <xdr:row>36</xdr:row>
      <xdr:rowOff>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1001485" y="5553893"/>
          <a:ext cx="2048690" cy="648787"/>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2</xdr:col>
      <xdr:colOff>432458</xdr:colOff>
      <xdr:row>0</xdr:row>
      <xdr:rowOff>194953</xdr:rowOff>
    </xdr:from>
    <xdr:to>
      <xdr:col>4</xdr:col>
      <xdr:colOff>209799</xdr:colOff>
      <xdr:row>0</xdr:row>
      <xdr:rowOff>880753</xdr:rowOff>
    </xdr:to>
    <xdr:sp macro="" textlink="">
      <xdr:nvSpPr>
        <xdr:cNvPr id="11" name="Speech Bubble: Rectangle 10">
          <a:extLst>
            <a:ext uri="{FF2B5EF4-FFF2-40B4-BE49-F238E27FC236}">
              <a16:creationId xmlns:a16="http://schemas.microsoft.com/office/drawing/2014/main" id="{00000000-0008-0000-0000-00000B000000}"/>
            </a:ext>
          </a:extLst>
        </xdr:cNvPr>
        <xdr:cNvSpPr/>
      </xdr:nvSpPr>
      <xdr:spPr>
        <a:xfrm>
          <a:off x="4768931" y="194953"/>
          <a:ext cx="1647704"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editAs="oneCell">
    <xdr:from>
      <xdr:col>0</xdr:col>
      <xdr:colOff>186047</xdr:colOff>
      <xdr:row>37</xdr:row>
      <xdr:rowOff>36617</xdr:rowOff>
    </xdr:from>
    <xdr:to>
      <xdr:col>4</xdr:col>
      <xdr:colOff>1248889</xdr:colOff>
      <xdr:row>67</xdr:row>
      <xdr:rowOff>101931</xdr:rowOff>
    </xdr:to>
    <xdr:pic>
      <xdr:nvPicPr>
        <xdr:cNvPr id="1036" name="MyPlot">
          <a:extLst>
            <a:ext uri="{FF2B5EF4-FFF2-40B4-BE49-F238E27FC236}">
              <a16:creationId xmlns:a16="http://schemas.microsoft.com/office/drawing/2014/main" id="{C6E38257-11E6-8684-ABE5-95E8B96383F7}"/>
            </a:ext>
          </a:extLst>
        </xdr:cNvPr>
        <xdr:cNvPicPr>
          <a:picLocks/>
        </xdr:cNvPicPr>
      </xdr:nvPicPr>
      <xdr:blipFill>
        <a:blip xmlns:r="http://schemas.openxmlformats.org/officeDocument/2006/relationships" r:embed="rId1"/>
        <a:stretch>
          <a:fillRect/>
        </a:stretch>
      </xdr:blipFill>
      <xdr:spPr>
        <a:xfrm>
          <a:off x="186047" y="8532917"/>
          <a:ext cx="7273142" cy="509451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1">
  <rv s="0">
    <v>https://www.bing.com/financeapi/forcetrigger?t=a23yk2&amp;q=XNAS%3aFRG&amp;form=skydnc</v>
    <v>Learn more on Bing</v>
  </rv>
  <rv s="1">
    <v>fr-FR</v>
    <v>a23yk2</v>
    <v>268435456</v>
    <v>1</v>
    <v>Avec Refinitiv</v>
    <v>0</v>
    <v>1</v>
    <v>Franchise Group (XNAS:FRG)</v>
    <v>3</v>
    <v>4</v>
    <v>Finance</v>
    <v>5</v>
    <v>XNAS</v>
    <v>40361910</v>
    <v>2010</v>
    <v>35.545000000000002</v>
    <v>29.66</v>
    <v>1.5530999999999999</v>
    <v>1480878000</v>
    <v>Nasdaq Stock Market</v>
    <v>0.35</v>
    <v>9.5389999999999989E-3</v>
    <v>35.19</v>
    <v>FRG</v>
    <v>44813.875914571094</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37.365000000000002</v>
    <v>55.1</v>
    <v>Specialty Retailers</v>
    <v>0</v>
    <v>4.2625999999999997E-2</v>
    <v>1.5</v>
    <v>Franchise Group</v>
    <v>Franchise Group</v>
    <v>35.56</v>
    <v>6.0991999999999997</v>
    <v>36.69</v>
    <v>37.04</v>
    <v>109 INNOVATION COURT, SUITE J, DELAWARE, OH, 43015 US</v>
    <v>Bourse</v>
    <v>Franchise Group (XNAS:FRG)</v>
    <v>427205</v>
    <v>479165</v>
  </rv>
  <rv s="2">
    <v>1</v>
  </rv>
  <rv s="0">
    <v>https://www.bing.com/financeapi/forcetrigger?t=a1nvvh&amp;q=XNYS%3aATKR&amp;form=skydnc</v>
    <v>Learn more on Bing</v>
  </rv>
  <rv s="1">
    <v>fr-FR</v>
    <v>a1nvvh</v>
    <v>268435456</v>
    <v>1</v>
    <v>Avec Refinitiv</v>
    <v>0</v>
    <v>1</v>
    <v>Atkore (XNYS:ATKR)</v>
    <v>3</v>
    <v>4</v>
    <v>Finance</v>
    <v>5</v>
    <v>XNYS</v>
    <v>41320870</v>
    <v>2010</v>
    <v>85.16</v>
    <v>80.045000000000002</v>
    <v>2.2629999999999999</v>
    <v>3653178000</v>
    <v>New York Stock Exchange</v>
    <v>-2.4</v>
    <v>-2.7146E-2</v>
    <v>84.67</v>
    <v>ATKR</v>
    <v>44813.958333390627</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88.41</v>
    <v>123.53</v>
    <v>Machinery, Equipment &amp; Components</v>
    <v>3</v>
    <v>4.4170999999999995E-2</v>
    <v>3.74</v>
    <v>Atkore</v>
    <v>Atkore</v>
    <v>85.36</v>
    <v>4.3257000000000003</v>
    <v>88.41</v>
    <v>86.01</v>
    <v>16100 SOUTH LATHROP AVENUE, HARVEY, IL, 60426 US</v>
    <v>Bourse</v>
    <v>Atkore (XNYS:ATKR)</v>
    <v>341404</v>
    <v>350027</v>
  </rv>
  <rv s="2">
    <v>4</v>
  </rv>
  <rv s="0">
    <v>https://www.bing.com/financeapi/forcetrigger?t=a1s5jc&amp;q=XNYS%3aVTOL&amp;form=skydnc</v>
    <v>Learn more on Bing</v>
  </rv>
  <rv s="1">
    <v>fr-FR</v>
    <v>a1s5jc</v>
    <v>268435456</v>
    <v>1</v>
    <v>Avec Refinitiv</v>
    <v>0</v>
    <v>1</v>
    <v>Bristow Group (XNYS:VTOL)</v>
    <v>3</v>
    <v>4</v>
    <v>Finance</v>
    <v>5</v>
    <v>XNYS</v>
    <v>27936160</v>
    <v>1999</v>
    <v>27.17</v>
    <v>21.61</v>
    <v>1.3154999999999999</v>
    <v>766289000</v>
    <v>New York Stock Exchange</v>
    <v>0</v>
    <v>0</v>
    <v>27.4</v>
    <v>VTOL</v>
    <v>44813.958333390627</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28.02</v>
    <v>40.1</v>
    <v>Passenger Transportation Services</v>
    <v>6</v>
    <v>1.0950000000000001E-3</v>
    <v>0.03</v>
    <v>Bristow Group</v>
    <v>Bristow Group</v>
    <v>27.89</v>
    <v>342.84280000000001</v>
    <v>27.43</v>
    <v>27.43</v>
    <v>3151 Briarpark Drive, Suite 700, HOUSTON, TX, 77042 US</v>
    <v>Bourse</v>
    <v>Bristow Group (XNYS:VTOL)</v>
    <v>96992</v>
    <v>68412</v>
  </rv>
  <rv s="2">
    <v>7</v>
  </rv>
  <rv s="0">
    <v>https://www.bing.com/financeapi/forcetrigger?t=a1wwsm&amp;q=XNAS%3aLILAK&amp;form=skydnc</v>
    <v>Learn more on Bing</v>
  </rv>
  <rv s="3">
    <v>fr-FR</v>
    <v>a1wwsm</v>
    <v>268435456</v>
    <v>1</v>
    <v>Avec Refinitiv</v>
    <v>6</v>
    <v>7</v>
    <v>Liberty Latin (XNAS:LILAK)</v>
    <v>3</v>
    <v>8</v>
    <v>Finance</v>
    <v>5</v>
    <v>XNAS</v>
    <v>221477400</v>
    <v>2017</v>
    <v>6.55</v>
    <v>6.34</v>
    <v>1.2110000000000001</v>
    <v>1538203000</v>
    <v>Nasdaq Stock Market</v>
    <v>-0.04</v>
    <v>-5.7549999999999997E-3</v>
    <v>6.5</v>
    <v>LILAK</v>
    <v>44813.849473367969</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6.97</v>
    <v>13.98</v>
    <v>Telecommunications Services</v>
    <v>9</v>
    <v>6.9231000000000001E-2</v>
    <v>0.45</v>
    <v>Liberty Latin</v>
    <v>Liberty Latin</v>
    <v>6.55</v>
    <v>6.95</v>
    <v>6.91</v>
    <v>1550 Wewatta Street, Suite 710, DENVER, CO, 80202 US</v>
    <v>Bourse</v>
    <v>Liberty Latin (XNAS:LILAK)</v>
    <v>1230527</v>
    <v>980959</v>
  </rv>
  <rv s="2">
    <v>10</v>
  </rv>
  <rv s="0">
    <v>https://www.bing.com/financeapi/forcetrigger?t=a1r32w&amp;q=XNAS%3aWBD&amp;form=skydnc</v>
    <v>Learn more on Bing</v>
  </rv>
  <rv s="1">
    <v>fr-FR</v>
    <v>a1r32w</v>
    <v>268435456</v>
    <v>1</v>
    <v>Avec Refinitiv</v>
    <v>0</v>
    <v>1</v>
    <v>WARNER BROS. DISCOVERY, INC. (XNAS:WBD)</v>
    <v>3</v>
    <v>4</v>
    <v>Finance</v>
    <v>5</v>
    <v>XNAS</v>
    <v>2427593000</v>
    <v>2008</v>
    <v>12.67</v>
    <v>12.23</v>
    <v>1.369</v>
    <v>31631540000</v>
    <v>Nasdaq Stock Market</v>
    <v>-0.02</v>
    <v>-1.5349999999999999E-3</v>
    <v>12.54</v>
    <v>WBD</v>
    <v>44813.998710717191</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13.09</v>
    <v>31.55</v>
    <v>Media &amp; Publishing</v>
    <v>12</v>
    <v>3.9074999999999999E-2</v>
    <v>0.49</v>
    <v>WARNER BROS. DISCOVERY, INC.</v>
    <v>WARNER BROS. DISCOVERY, INC.</v>
    <v>12.67</v>
    <v>7.2262000000000004</v>
    <v>13.03</v>
    <v>13.01</v>
    <v>230 PARK AVENUE SOUTH, NEW YORK, NY, 10003 US</v>
    <v>Bourse</v>
    <v>WARNER BROS. DISCOVERY, INC. (XNAS:WBD)</v>
    <v>22564952</v>
    <v>28890217</v>
  </rv>
  <rv s="2">
    <v>13</v>
  </rv>
  <rv s="0">
    <v>https://www.bing.com/financeapi/forcetrigger?t=a1yyec&amp;q=XNAS%3aNXST&amp;form=skydnc</v>
    <v>Learn more on Bing</v>
  </rv>
  <rv s="1">
    <v>fr-FR</v>
    <v>a1yyec</v>
    <v>268435456</v>
    <v>1</v>
    <v>Avec Refinitiv</v>
    <v>0</v>
    <v>1</v>
    <v>Nexstar Media (XNAS:NXST)</v>
    <v>3</v>
    <v>4</v>
    <v>Finance</v>
    <v>5</v>
    <v>XNAS</v>
    <v>38793920</v>
    <v>2001</v>
    <v>191.08</v>
    <v>139.68799999999999</v>
    <v>1.4681999999999999</v>
    <v>7579168150</v>
    <v>Nasdaq Stock Market</v>
    <v>0</v>
    <v>0</v>
    <v>190.17</v>
    <v>NXST</v>
    <v>44813.839396805466</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196.76</v>
    <v>204.62</v>
    <v>Media &amp; Publishing</v>
    <v>15</v>
    <v>2.7344E-2</v>
    <v>5.2</v>
    <v>Nexstar Media</v>
    <v>Nexstar Media</v>
    <v>191.09</v>
    <v>8.7876999999999992</v>
    <v>195.37</v>
    <v>195.37</v>
    <v>545 E John Carpenter Fwy Ste 700, IRVING, TX, 75062-3932 US</v>
    <v>Bourse</v>
    <v>Nexstar Media (XNAS:NXST)</v>
    <v>258536</v>
    <v>269322</v>
  </rv>
  <rv s="2">
    <v>16</v>
  </rv>
  <rv s="0">
    <v>https://www.bing.com/financeapi/forcetrigger?t=a1vhzr&amp;q=XNAS%3aHROW&amp;form=skydnc</v>
    <v>Learn more on Bing</v>
  </rv>
  <rv s="1">
    <v>fr-FR</v>
    <v>a1vhzr</v>
    <v>268435456</v>
    <v>1</v>
    <v>Avec Refinitiv</v>
    <v>0</v>
    <v>1</v>
    <v>HARROW HEALTH, INC. (XNAS:HROW)</v>
    <v>3</v>
    <v>4</v>
    <v>Finance</v>
    <v>5</v>
    <v>XNAS</v>
    <v>27069980</v>
    <v>2006</v>
    <v>8.98</v>
    <v>5.4</v>
    <v>0.64900000000000002</v>
    <v>245795400</v>
    <v>Nasdaq Stock Market</v>
    <v>0</v>
    <v>0</v>
    <v>9.0399999999999991</v>
    <v>HROW</v>
    <v>44813.866153228904</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9.25</v>
    <v>12.99</v>
    <v>Pharmaceuticals</v>
    <v>18</v>
    <v>4.4250000000000001E-3</v>
    <v>0.04</v>
    <v>HARROW HEALTH, INC.</v>
    <v>HARROW HEALTH, INC.</v>
    <v>9.1</v>
    <v>41.807299999999998</v>
    <v>9.08</v>
    <v>9.08</v>
    <v>102 WOODMONT BLVD, SUITE 610, NASHVILLE, TN, 37215 US</v>
    <v>Bourse</v>
    <v>HARROW HEALTH, INC. (XNAS:HROW)</v>
    <v>31393</v>
    <v>91572</v>
  </rv>
  <rv s="2">
    <v>19</v>
  </rv>
  <rv s="0">
    <v>https://www.bing.com/financeapi/forcetrigger?t=bvdwyc&amp;q=OTCM%3aPHIG&amp;form=skydnc</v>
    <v>Learn more on Bing</v>
  </rv>
  <rv s="4">
    <v>fr-FR</v>
    <v>bvdwyc</v>
    <v>268435456</v>
    <v>1</v>
    <v>Avec Refinitiv</v>
    <v>9</v>
    <v>10</v>
    <v>PHI Group (OTCM:PHIG)</v>
    <v>3</v>
    <v>11</v>
    <v>Finance</v>
    <v>12</v>
    <v>OTCM</v>
    <v>12.75</v>
    <v>5</v>
    <v>OTC Markets</v>
    <v>12.75</v>
    <v>PHIG</v>
    <v>44811.731867453127</v>
    <v>USD</v>
    <v>OTCM</v>
    <v>12.75</v>
    <v>16.5</v>
    <v>21</v>
    <v>0</v>
    <v>0</v>
    <v>PHI Group</v>
    <v>PHI Group</v>
    <v>12.75</v>
    <v>12.75</v>
    <v>2001 Se Evangeline Thruway, LAFAYETTE, LA, 70508 US</v>
    <v>Bourse</v>
    <v>PHI Group (OTCM:PHIG)</v>
    <v>1400</v>
  </rv>
  <rv s="2">
    <v>22</v>
  </rv>
  <rv s="0">
    <v>https://www.bing.com/financeapi/forcetrigger?t=c1w7rw&amp;q=XNYS%3aPL&amp;form=skydnc</v>
    <v>Learn more on Bing</v>
  </rv>
  <rv s="1">
    <v>fr-FR</v>
    <v>c1w7rw</v>
    <v>268435456</v>
    <v>1</v>
    <v>Avec Refinitiv</v>
    <v>0</v>
    <v>1</v>
    <v>Planet Labs (XNYS:PL)</v>
    <v>3</v>
    <v>4</v>
    <v>Finance</v>
    <v>5</v>
    <v>XNYS</v>
    <v>268686800</v>
    <v>2020</v>
    <v>5.21</v>
    <v>3.7008000000000001</v>
    <v>1.738</v>
    <v>1440161248</v>
    <v>New York Stock Exchange</v>
    <v>0</v>
    <v>0</v>
    <v>5.21</v>
    <v>PL</v>
    <v>44813.976220231249</v>
    <v>Planet Labs PBC, formerly dMY Technology Group, Inc. IV, is a provider of global, daily satellite imagery and geospatial solutions. The Company designs, builds, and operates the Earth observation fleet of imaging satellites, capturing, and compiling data from over three million images per day. The Company’s automated, cloud-native platform processes and manages data catalogue and extracts information. The Company’s platform includes imagery, insights, and machine learning that enables companies, governments, and communities around the world to make decisions about evolving world. Its platform and analytics products include Planet Application Programming Interfaces (APIs), Planet Applications, Planet Basemaps, Planet Fusion, and Planet Analytics Feeds. The Company provides mission-critical data, advanced insights, and software solutions, across agriculture, forestry, intelligence, education and finance companies and government agencies, enabling users to derive satellite imagery.</v>
    <v>USD</v>
    <v>700</v>
    <v>XNYS</v>
    <v>5.4950000000000001</v>
    <v>12.15</v>
    <v>Aerospace &amp; Defense</v>
    <v>24</v>
    <v>2.8791000000000001E-2</v>
    <v>0.15</v>
    <v>Planet Labs</v>
    <v>Planet Labs</v>
    <v>5.22</v>
    <v>0</v>
    <v>5.36</v>
    <v>5.36</v>
    <v>645 Harrison Street, Floor 4, SAN FRANCISCO, CA, 94107 US</v>
    <v>Bourse</v>
    <v>Planet Labs (XNYS:PL)</v>
    <v>1602133</v>
    <v>1514282</v>
  </rv>
  <rv s="2">
    <v>25</v>
  </rv>
  <rv s="0">
    <v>https://www.bing.com/financeapi/forcetrigger?t=a1otrw&amp;q=XNYS%3aBRK.B&amp;form=skydnc</v>
    <v>Learn more on Bing</v>
  </rv>
  <rv s="1">
    <v>fr-FR</v>
    <v>a1otrw</v>
    <v>268435456</v>
    <v>1</v>
    <v>Avec Refinitiv</v>
    <v>0</v>
    <v>1</v>
    <v>BERKSHIRE HATHAWAY INC. (XNYS:BRK.B)</v>
    <v>3</v>
    <v>4</v>
    <v>Finance</v>
    <v>5</v>
    <v>XNYS</v>
    <v>1467340</v>
    <v>1998</v>
    <v>284.13</v>
    <v>263.68</v>
    <v>0.93600000000000005</v>
    <v>629681900000</v>
    <v>New York Stock Exchange</v>
    <v>-0.08</v>
    <v>-2.7990000000000003E-4</v>
    <v>283.33999999999997</v>
    <v>BRK.B</v>
    <v>44813.997631654689</v>
    <v>Berkshire Hathaway Inc. est une société holding qui possède des filiales exerçant diverses activités commerciales, notamment l'assurance et la réassurance, les services publics et l'énergie, le transport ferroviaire de marchandises, la fabrication et la vente au détail. Ses segments comprennent l'assurance, comme GEICO, Berkshire Hathaway Primary Group et Berkshire Hathaway Reinsurance Group ; Burlington Northern Santa Fe, LLC, qui est engagée dans l'exploitation du système ferroviaire ; Berkshire Hathaway Energy, qui comprend les services publics d'électricité et de gaz réglementés ; Fabrication, qui comprend les fabricants de divers produits, y compris les produits industriels, de consommation et de construction ; McLane Company, qui s'occupe de la distribution en gros de produits d'épicerie et d'articles non alimentaires ; Service et vente au détail, qui comprend les fournisseurs de divers services, y compris les programmes de propriété partagée d'avions, la formation des pilotes d'aviation, la distribution de composants électroniques et diverses entreprises de vente au détail, y compris les concessionnaires automobiles et la location de meubles.</v>
    <v>USD</v>
    <v>372000</v>
    <v>XNYS</v>
    <v>287.02</v>
    <v>362.1</v>
    <v>Consumer Goods Conglomerates</v>
    <v>27</v>
    <v>8.5760000000000003E-3</v>
    <v>2.4300000000000002</v>
    <v>BERKSHIRE HATHAWAY INC.</v>
    <v>BERKSHIRE HATHAWAY INC.</v>
    <v>284.53500000000003</v>
    <v>7.1191000000000004</v>
    <v>285.77</v>
    <v>285.69</v>
    <v>3555 Farnam St, OMAHA, NE, 68131 US</v>
    <v>Bourse</v>
    <v>BERKSHIRE HATHAWAY INC. (XNYS:BRK.B)</v>
    <v>3128967</v>
    <v>3662484</v>
  </rv>
  <rv s="2">
    <v>28</v>
  </rv>
  <rv s="0">
    <v>https://www.bing.com/financeapi/forcetrigger?t=a21spr&amp;q=XNAS%3aRDI&amp;form=skydnc</v>
    <v>Learn more on Bing</v>
  </rv>
  <rv s="1">
    <v>fr-FR</v>
    <v>a21spr</v>
    <v>268435456</v>
    <v>1</v>
    <v>Avec Refinitiv</v>
    <v>0</v>
    <v>1</v>
    <v>Reading Intl (XNAS:RDI)</v>
    <v>3</v>
    <v>4</v>
    <v>Finance</v>
    <v>13</v>
    <v>XNAS</v>
    <v>23724410</v>
    <v>1999</v>
    <v>3.78</v>
    <v>3.25</v>
    <v>1.5257000000000001</v>
    <v>115161900</v>
    <v>Nasdaq Stock Market</v>
    <v>0</v>
    <v>0</v>
    <v>3.81</v>
    <v>RDI</v>
    <v>44813.833382464843</v>
    <v>Reading International, Inc. is a diversified company that is focused on the development, ownership and operation of entertainment and real property assets. The Company operates through two segments: Theatrical Motion Picture Exhibition (Cinema Exhibition) and Real Estate. The Cinema Exhibition segment is primarily engaged in cinema experiences for its guests through hospitality-styled comfort and service, state-of-the-art cinematic presentation, designed venues, curated film and event programming, and crafted food and beverage options. The Real Estate segment is engaged in the real estate business through the development and its ownership and rental or licensing to third parties of retail, commercial and live theatre assets. The Company’s commercial brands include Reading Cinemas, Consolidated Theatres, Angelika Film Center, State Cinema, Angelika Anywhere, 44 Union Square, Newmarket Village, Cannon Park, The Belmont Common, Courtenay Central and Liberty Theatres.</v>
    <v>USD</v>
    <v>97</v>
    <v>XNAS</v>
    <v>3.98</v>
    <v>5.41</v>
    <v>Hotels &amp; Entertainment Services</v>
    <v>30</v>
    <v>-2.6250000000000002E-3</v>
    <v>-0.01</v>
    <v>Reading Intl</v>
    <v>Reading Intl</v>
    <v>3.98</v>
    <v>2.4666000000000001</v>
    <v>3.8</v>
    <v>3.8</v>
    <v>5995 Sepulveda Blvd Ste 300, CULVER CITY, CA, 90230-6415 US</v>
    <v>Bourse</v>
    <v>Reading Intl (XNAS:RDI)</v>
    <v>47017</v>
    <v>19151</v>
  </rv>
  <rv s="2">
    <v>31</v>
  </rv>
  <rv s="0">
    <v>https://www.bing.com/financeapi/forcetrigger?t=ab1xoc&amp;q=XTSE%3aXIC&amp;form=skydnc</v>
    <v>Learn more on Bing</v>
  </rv>
  <rv s="5">
    <v>fr-FR</v>
    <v>ab1xoc</v>
    <v>268435456</v>
    <v>1</v>
    <v>Avec Refinitiv</v>
    <v>14</v>
    <v>15</v>
    <v>iShrs Core S&amp;P/TSX CC Idx ETF (XTSE:XIC)</v>
    <v>16</v>
    <v>17</v>
    <v>Finance</v>
    <v>18</v>
    <v>XTSE</v>
    <v>31.29</v>
    <v>28.93</v>
    <v>0.997</v>
    <v>9055323705.75</v>
    <v>Toronto Stock Exchange</v>
    <v>31.03</v>
    <v>XIC</v>
    <v>44813.833229166667</v>
    <v>CAD</v>
    <v>31.64</v>
    <v>35.414999999999999</v>
    <v>33</v>
    <v>1.8692E-2</v>
    <v>0.57999999999999996</v>
    <v>iShrs Core S&amp;P/TSX CC Idx ETF</v>
    <v>31.29</v>
    <v>31.61</v>
    <v>5.9999999999999995E-4</v>
    <v>Fonds coté en bourse</v>
    <v>iShrs Core S&amp;P/TSX CC Idx ETF (XTSE:XIC)</v>
    <v>331551</v>
  </rv>
  <rv s="2">
    <v>34</v>
  </rv>
  <rv s="0">
    <v>https://www.bing.com/financeapi/forcetrigger?t=aaxw8m&amp;q=XTSE%3aECN&amp;form=skydnc</v>
    <v>Learn more on Bing</v>
  </rv>
  <rv s="1">
    <v>fr-FR</v>
    <v>aaxw8m</v>
    <v>268435456</v>
    <v>1</v>
    <v>Avec Refinitiv</v>
    <v>0</v>
    <v>1</v>
    <v>ECN Capital Corp. (XTSE:ECN)</v>
    <v>3</v>
    <v>19</v>
    <v>Finance</v>
    <v>20</v>
    <v>XTSE</v>
    <v>244811900</v>
    <v>2016</v>
    <v>5.05</v>
    <v>3.9539</v>
    <v>1.4545999999999999</v>
    <v>1255885047</v>
    <v>Toronto Stock Exchange</v>
    <v>0</v>
    <v>0</v>
    <v>4.97</v>
    <v>ECN</v>
    <v>44813.833333333336</v>
    <v>ECN Capital Corp est une société financière basée au Canada. La Société se concentre sur la fourniture de solutions d'actifs pour le secteur financier. Elle crée, offre des services, structure et gère des produits financiers et fournit des services de conseil aux institutions financières. La Société exerce ses activités dans trois secteurs d'activité, tels que Service Finance, Triad Financial Services et The Kessler Group. Son service de financement, qui fournit des prêts pour l'amélioration de l'habitat. Triad Financial Services est destiné aux prêts aux maisons préfabriquées. Le groupe Kessler, qui propose des portefeuilles de cartes de crédit à la consommation. La Société offre des portefeuilles de prêts à la consommation et de cartes de crédit non garantis et garantis.</v>
    <v>CAD</v>
    <v>462</v>
    <v>XTSE</v>
    <v>5.25</v>
    <v>7.2850000000000001</v>
    <v>Banking Services</v>
    <v>36</v>
    <v>3.2192999999999999E-2</v>
    <v>0.16</v>
    <v>ECN Capital Corp.</v>
    <v>ECN Capital Corp.</v>
    <v>5.05</v>
    <v>214.03</v>
    <v>5.13</v>
    <v>5.13</v>
    <v>Royal Bank Plaza, 200 Bay Street, North Tower, Suite 1625, TORONTO, ON, M5J 2J1 CA</v>
    <v>Bourse</v>
    <v>ECN Capital Corp. (XTSE:ECN)</v>
    <v>269635</v>
    <v>916390</v>
  </rv>
  <rv s="2">
    <v>37</v>
  </rv>
  <rv s="6">
    <v>12</v>
    <v>Prix</v>
    <v>0</v>
  </rv>
  <rv s="7">
    <v>12</v>
    <v>1</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Prix (horaires prolongés)"/>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Prix (horaires prolongés)"/>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Change" t="s"/>
    <k n="Clôture précédente"/>
    <k n="Code mnémonique" t="s"/>
    <k n="Dernière heure d'échange"/>
    <k n="Devise" t="s"/>
    <k n="ExchangeID" t="s"/>
    <k n="Haut"/>
    <k n="Haut depuis 52 semaines"/>
    <k n="LearnMoreOnLink" t="r"/>
    <k n="Modification (%)"/>
    <k n="Modifier"/>
    <k n="Nom" t="s"/>
    <k n="Nom officiel" t="s"/>
    <k n="Ouvrir"/>
    <k n="Prix"/>
    <k n="Sièges sociaux" t="s"/>
    <k n="Type d'instrument" t="s"/>
    <k n="UniqueName" t="s"/>
    <k n="Volume"/>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error">
    <k n="errorType" t="i"/>
    <k n="field" t="s"/>
    <k n="subType" t="i"/>
  </s>
  <s t="_error">
    <k n="errorType" t="i"/>
    <k n="propagated" t="b"/>
  </s>
</rvStructures>
</file>

<file path=xl/richData/rdsupportingpropertybag.xml><?xml version="1.0" encoding="utf-8"?>
<supportingPropertyBags xmlns="http://schemas.microsoft.com/office/spreadsheetml/2017/richdata2">
  <spbArrays count="4">
    <a count="46">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5">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Sièges sociaux</v>
      <v t="s">Type d'instrument</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spbArrays>
  <spbData count="21">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0</v>
      <v>Name</v>
      <v>LearnMoreOnLink</v>
    </spb>
    <spb s="2">
      <v>0</v>
      <v>0</v>
      <v>0</v>
    </spb>
    <spb s="3">
      <v>2</v>
      <v>2</v>
      <v>2</v>
      <v>2</v>
    </spb>
    <spb s="4">
      <v>1</v>
      <v>2</v>
      <v>3</v>
      <v>3</v>
      <v>1</v>
      <v>1</v>
      <v>1</v>
      <v>4</v>
      <v>4</v>
      <v>1</v>
      <v>4</v>
      <v>5</v>
      <v>6</v>
      <v>1</v>
      <v>7</v>
      <v>4</v>
      <v>1</v>
      <v>1</v>
      <v>8</v>
      <v>9</v>
      <v>1</v>
      <v>1</v>
      <v>5</v>
    </spb>
    <spb s="5">
      <v xml:space="preserve">à la clôture </v>
      <v xml:space="preserve">depuis la clôture précédente </v>
      <v>Source: Nasdaq</v>
      <v xml:space="preserve">depuis la clôture précédente </v>
      <v>GMT</v>
      <v>Différé de 15 minutes</v>
      <v xml:space="preserve">depuis la clôture </v>
      <v xml:space="preserve">depuis la clôture </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1</v>
      <v>Name</v>
      <v>LearnMoreOnLink</v>
    </spb>
    <spb s="7">
      <v>1</v>
      <v>2</v>
      <v>3</v>
      <v>1</v>
      <v>1</v>
      <v>1</v>
      <v>4</v>
      <v>4</v>
      <v>1</v>
      <v>4</v>
      <v>5</v>
      <v>6</v>
      <v>1</v>
      <v>7</v>
      <v>4</v>
      <v>1</v>
      <v>1</v>
      <v>8</v>
      <v>9</v>
      <v>1</v>
      <v>1</v>
      <v>5</v>
    </spb>
    <spb s="8">
      <v>Low</v>
      <v>Name</v>
      <v>High</v>
      <v>Price</v>
      <v>Exchange</v>
      <v>Currency</v>
      <v>Open</v>
      <v>Volume</v>
      <v>Change</v>
      <v>ExchangeID</v>
      <v>UniqueName</v>
      <v>Official name</v>
      <v>%ProviderInfo</v>
      <v>Headquarters</v>
      <v>Ticker symbol</v>
      <v>LearnMoreOnLink</v>
      <v>Change (%)</v>
      <v>Instrument type</v>
      <v>Previous close</v>
      <v>Exchange abbreviation</v>
      <v>52 week low</v>
      <v>52 week high</v>
      <v>Last trade time</v>
    </spb>
    <spb s="1">
      <v>2</v>
      <v>Name</v>
      <v>LearnMoreOnLink</v>
    </spb>
    <spb s="9">
      <v>1</v>
      <v>2</v>
      <v>1</v>
      <v>1</v>
      <v>1</v>
      <v>4</v>
      <v>1</v>
      <v>5</v>
      <v>6</v>
      <v>1</v>
      <v>1</v>
      <v>1</v>
      <v>9</v>
    </spb>
    <spb s="10">
      <v>Différé de 15 minutes</v>
      <v xml:space="preserve">depuis la clôture précédente </v>
      <v xml:space="preserve">depuis la clôture précédente </v>
      <v>GMT</v>
    </spb>
    <spb s="5">
      <v xml:space="preserve">à la clôture </v>
      <v xml:space="preserve">depuis la clôture précédente </v>
      <v>Source: Nasdaq Dernière vente</v>
      <v xml:space="preserve">depuis la clôture précédente </v>
      <v>GMT</v>
      <v>En temps réel  Nasdaq Dernière vente</v>
      <v xml:space="preserve">depuis la clôture </v>
      <v xml:space="preserve">depuis la clôture </v>
    </spb>
    <spb s="11">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3</v>
      <v>Name</v>
      <v>LearnMoreOnLink</v>
    </spb>
    <spb s="12">
      <v>2</v>
      <v>2</v>
      <v>2</v>
    </spb>
    <spb s="13">
      <v>10</v>
      <v>2</v>
      <v>3</v>
      <v>10</v>
      <v>10</v>
      <v>10</v>
      <v>4</v>
      <v>10</v>
      <v>5</v>
      <v>5</v>
      <v>6</v>
      <v>10</v>
      <v>10</v>
      <v>10</v>
      <v>11</v>
      <v>9</v>
    </spb>
    <spb s="10">
      <v>Différé de 20 minutes</v>
      <v xml:space="preserve">depuis la clôture précédente </v>
      <v xml:space="preserve">depuis la clôture précédente </v>
      <v>GMT</v>
    </spb>
    <spb s="4">
      <v>10</v>
      <v>2</v>
      <v>3</v>
      <v>3</v>
      <v>10</v>
      <v>10</v>
      <v>10</v>
      <v>4</v>
      <v>4</v>
      <v>10</v>
      <v>4</v>
      <v>5</v>
      <v>6</v>
      <v>10</v>
      <v>7</v>
      <v>4</v>
      <v>10</v>
      <v>10</v>
      <v>11</v>
      <v>9</v>
      <v>10</v>
      <v>10</v>
      <v>5</v>
    </spb>
    <spb s="14">
      <v xml:space="preserve">à la clôture </v>
      <v xml:space="preserve">depuis la clôture précédente </v>
      <v xml:space="preserve">depuis la clôture précédente </v>
      <v>GMT</v>
      <v>Différé de 20 minutes</v>
      <v xml:space="preserve">depuis la clôture </v>
      <v xml:space="preserve">depuis la clôture </v>
    </spb>
  </spbData>
</supportingPropertyBags>
</file>

<file path=xl/richData/rdsupportingpropertybagstructure.xml><?xml version="1.0" encoding="utf-8"?>
<spbStructures xmlns="http://schemas.microsoft.com/office/spreadsheetml/2017/richdata2" count="15">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ExchangeID" t="s"/>
    <k n="Modification (%)" t="s"/>
    <k n="Dernière heure d'échange" t="s"/>
    <k n="Prix (horaires prolongés)" t="s"/>
    <k n="Changement (horaires prolongés)" t="s"/>
    <k n="Changement en % (horaires prolongés)"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Bas" t="s"/>
    <k n="Nom" t="s"/>
    <k n="Haut" t="s"/>
    <k n="Prix" t="s"/>
    <k n="Change" t="s"/>
    <k n="Devise" t="s"/>
    <k n="Ouvrir" t="s"/>
    <k n="Volume" t="s"/>
    <k n="Modifier" t="s"/>
    <k n="ExchangeID" t="s"/>
    <k n="UniqueName" t="s"/>
    <k n="Nom officiel" t="s"/>
    <k n="%ProviderInfo" t="s"/>
    <k n="Sièges sociaux" t="s"/>
    <k n="Code mnémonique" t="s"/>
    <k n="LearnMoreOnLink" t="s"/>
    <k n="Modification (%)" t="s"/>
    <k n="Type d'instrument" t="s"/>
    <k n="Clôture précédente" t="s"/>
    <k n="Abréviation de change" t="s"/>
    <k n="Bas depuis 52 semaines" t="s"/>
    <k n="Haut depuis 52 semaines" t="s"/>
    <k n="Dernière heure d'échange" t="s"/>
  </s>
  <s>
    <k n="Bas" t="i"/>
    <k n="Nom" t="i"/>
    <k n="Haut" t="i"/>
    <k n="Prix" t="i"/>
    <k n="Ouvrir" t="i"/>
    <k n="Volume" t="i"/>
    <k n="Modifier" t="i"/>
    <k n="Modification (%)" t="i"/>
    <k n="`%EntityServiceId" t="i"/>
    <k n="Clôture précédente" t="i"/>
    <k n="Bas depuis 52 semaines" t="i"/>
    <k n="Haut depuis 52 semaines" t="i"/>
    <k n="Dernière heure d'échange" t="i"/>
  </s>
  <s>
    <k n="Prix" t="s"/>
    <k n="Modifier" t="s"/>
    <k n="Modification (%)" t="s"/>
    <k n="Dernière heure d'échange" t="s"/>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Modifier" t="s"/>
    <k n="Modification (%)" t="s"/>
    <k n="Dernière heure d'échange" t="s"/>
    <k n="Prix (horaires prolongés)" t="s"/>
    <k n="Changement (horaires prolongés)" t="s"/>
    <k n="Changement en % (horaires prolongé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 formatCode="0.00"/>
    </x:dxf>
    <x:dxf>
      <x:numFmt numFmtId="27" formatCode="yyyy/mm/dd\ h:mm"/>
    </x:dxf>
    <x:dxf>
      <x:numFmt numFmtId="1" formatCode="0"/>
    </x:dxf>
  </dxfs>
  <richProperties>
    <rPr n="NumberFormat" t="s"/>
    <rPr n="IsTitleField" t="b"/>
  </richProperties>
  <richStyles>
    <rSty dxfid="0">
      <rpv i="0">_([$$-en-US]* #,##0.00_);_([$$-en-US]* (#,##0.00);_([$$-en-US]* "-"??_);_(@_)</rpv>
    </rSty>
    <rSty>
      <rpv i="1">1</rpv>
    </rSty>
    <rSty dxfid="1">
      <rpv i="0">#,##0.00</rpv>
    </rSty>
    <rSty dxfid="2">
      <rpv i="0">#,##0</rpv>
    </rSty>
    <rSty dxfid="3"/>
    <rSty dxfid="4">
      <rpv i="0">0.00</rpv>
    </rSty>
    <rSty dxfid="6">
      <rpv i="0">0</rpv>
    </rSty>
    <rSty dxfid="0">
      <rpv i="0">_([$$-en-US]* #,##0_);_([$$-en-US]* (#,##0);_([$$-en-US]* "-"_);_(@_)</rpv>
    </rSty>
    <rSty dxfid="5"/>
    <rSty dxfid="0">
      <rpv i="0">_-[$$-en-CA]* #,##0.00_-;-[$$-en-CA]* #,##0.00_-;_-[$$-en-CA]* "-"??_-;_-@_-</rpv>
    </rSty>
    <rSty dxfid="0">
      <rpv i="0">_-[$$-en-CA]* #,##0_-;-[$$-en-CA]* #,##0_-;_-[$$-en-CA]*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7DDD-C786-4F02-A729-C31E6D261D5D}">
  <sheetPr codeName="Sheet3"/>
  <dimension ref="A1:O31"/>
  <sheetViews>
    <sheetView tabSelected="1" topLeftCell="A4" zoomScale="70" zoomScaleNormal="70" workbookViewId="0">
      <selection activeCell="H43" sqref="H43"/>
    </sheetView>
  </sheetViews>
  <sheetFormatPr defaultRowHeight="13.2" x14ac:dyDescent="0.25"/>
  <cols>
    <col min="1" max="1" width="45.3984375" style="3" bestFit="1" customWidth="1"/>
    <col min="2" max="2" width="11.5" style="3" bestFit="1" customWidth="1"/>
    <col min="3" max="3" width="11.09765625" style="3" bestFit="1" customWidth="1"/>
    <col min="4" max="4" width="13.5" style="3" bestFit="1" customWidth="1"/>
    <col min="5" max="5" width="16.69921875" style="3" bestFit="1" customWidth="1"/>
    <col min="6" max="6" width="17.69921875" style="3" bestFit="1" customWidth="1"/>
    <col min="7" max="7" width="8.796875" style="3"/>
    <col min="8" max="8" width="9.09765625" style="3" customWidth="1"/>
    <col min="9" max="9" width="11.5" style="3" customWidth="1"/>
    <col min="10" max="10" width="16.5" style="3" bestFit="1" customWidth="1"/>
    <col min="11" max="11" width="12.3984375" style="3" customWidth="1"/>
    <col min="12" max="12" width="14.69921875" style="3" customWidth="1"/>
    <col min="13" max="16384" width="8.796875" style="3"/>
  </cols>
  <sheetData>
    <row r="1" spans="1:15" s="29" customFormat="1" ht="126.6" customHeight="1" x14ac:dyDescent="0.3">
      <c r="B1" s="29" t="s">
        <v>28</v>
      </c>
      <c r="C1" s="31" t="s">
        <v>35</v>
      </c>
      <c r="D1" s="31" t="s">
        <v>36</v>
      </c>
      <c r="E1" s="31" t="s">
        <v>27</v>
      </c>
      <c r="F1" s="31" t="s">
        <v>26</v>
      </c>
      <c r="G1" s="31" t="s">
        <v>25</v>
      </c>
      <c r="H1" s="31" t="s">
        <v>24</v>
      </c>
      <c r="I1" s="30" t="s">
        <v>23</v>
      </c>
      <c r="J1" s="31" t="s">
        <v>22</v>
      </c>
      <c r="K1" s="30" t="s">
        <v>21</v>
      </c>
      <c r="L1" s="30" t="s">
        <v>20</v>
      </c>
    </row>
    <row r="2" spans="1:15" ht="15.6" x14ac:dyDescent="0.3">
      <c r="A2" s="28" t="e" vm="1">
        <v>#VALUE!</v>
      </c>
      <c r="B2" s="25" cm="1">
        <f t="array" ref="B2">_FV(A2,"Prix")</f>
        <v>36.69</v>
      </c>
      <c r="C2" s="16">
        <v>150</v>
      </c>
      <c r="D2" s="16">
        <v>30</v>
      </c>
      <c r="E2" s="23">
        <v>0.65</v>
      </c>
      <c r="F2" s="15">
        <f t="shared" ref="F2:F21" si="0">1-E2</f>
        <v>0.35</v>
      </c>
      <c r="G2" s="15">
        <f t="shared" ref="G2:G21" si="1">(C2/B2)-1</f>
        <v>3.0883074407195421</v>
      </c>
      <c r="H2" s="15">
        <f t="shared" ref="H2:H21" si="2">1-(D2/B2)</f>
        <v>0.18233851185609151</v>
      </c>
      <c r="I2" s="22">
        <v>0.16602244683824194</v>
      </c>
      <c r="J2" s="21">
        <f t="shared" ref="J2:J21" si="3">(E2/H2-F2/G2)</f>
        <v>3.4514675205486132</v>
      </c>
      <c r="K2" s="20">
        <f t="shared" ref="K2:K21" si="4">((1+J2*G2)^E2*(1-J2*H2)^F2)</f>
        <v>3.4872082462854408</v>
      </c>
      <c r="L2" s="20">
        <f t="shared" ref="L2:L21" si="5">((1+G2)^E2*(1-H2)^F2)</f>
        <v>2.3275769395958834</v>
      </c>
      <c r="N2" s="9"/>
      <c r="O2" s="4" t="s">
        <v>18</v>
      </c>
    </row>
    <row r="3" spans="1:15" ht="15.6" x14ac:dyDescent="0.3">
      <c r="A3" s="27" t="e" vm="2">
        <v>#VALUE!</v>
      </c>
      <c r="B3" s="25" cm="1">
        <f t="array" ref="B3">_FV(A3,"Prix")</f>
        <v>88.41</v>
      </c>
      <c r="C3" s="16">
        <v>250</v>
      </c>
      <c r="D3" s="16">
        <v>85</v>
      </c>
      <c r="E3" s="23">
        <v>0.7</v>
      </c>
      <c r="F3" s="15">
        <f t="shared" si="0"/>
        <v>0.30000000000000004</v>
      </c>
      <c r="G3" s="15">
        <f t="shared" si="1"/>
        <v>1.8277344191833502</v>
      </c>
      <c r="H3" s="15">
        <f t="shared" si="2"/>
        <v>3.8570297477660831E-2</v>
      </c>
      <c r="I3" s="22">
        <v>0.1183320710980163</v>
      </c>
      <c r="J3" s="21">
        <f t="shared" si="3"/>
        <v>17.984542719626965</v>
      </c>
      <c r="K3" s="20">
        <f t="shared" si="4"/>
        <v>8.2553699286371618</v>
      </c>
      <c r="L3" s="20">
        <f t="shared" si="5"/>
        <v>2.0458900642198445</v>
      </c>
      <c r="N3" s="8"/>
      <c r="O3" s="4" t="s">
        <v>17</v>
      </c>
    </row>
    <row r="4" spans="1:15" ht="15.6" x14ac:dyDescent="0.3">
      <c r="A4" s="27" t="e" vm="3">
        <v>#VALUE!</v>
      </c>
      <c r="B4" s="25" cm="1">
        <f t="array" ref="B4">_FV(A4,"Prix")</f>
        <v>27.43</v>
      </c>
      <c r="C4" s="16">
        <v>77</v>
      </c>
      <c r="D4" s="16">
        <v>30</v>
      </c>
      <c r="E4" s="23">
        <v>0.65</v>
      </c>
      <c r="F4" s="15">
        <f t="shared" si="0"/>
        <v>0.35</v>
      </c>
      <c r="G4" s="15">
        <f t="shared" si="1"/>
        <v>1.8071454611738971</v>
      </c>
      <c r="H4" s="15">
        <f t="shared" si="2"/>
        <v>-9.3693036820998943E-2</v>
      </c>
      <c r="I4" s="22">
        <v>0.11957029093501952</v>
      </c>
      <c r="J4" s="21">
        <f t="shared" si="3"/>
        <v>-7.1312242483804269</v>
      </c>
      <c r="K4" s="20" t="e">
        <f t="shared" si="4"/>
        <v>#NUM!</v>
      </c>
      <c r="L4" s="20">
        <f t="shared" si="5"/>
        <v>2.0182994548838864</v>
      </c>
      <c r="N4" s="7"/>
      <c r="O4" s="4" t="s">
        <v>16</v>
      </c>
    </row>
    <row r="5" spans="1:15" ht="15.6" x14ac:dyDescent="0.3">
      <c r="A5" s="27" t="e" vm="4">
        <v>#VALUE!</v>
      </c>
      <c r="B5" s="25" cm="1">
        <f t="array" ref="B5">_FV(A5,"Prix")</f>
        <v>6.95</v>
      </c>
      <c r="C5" s="16">
        <v>21</v>
      </c>
      <c r="D5" s="16">
        <v>5</v>
      </c>
      <c r="E5" s="23">
        <v>0.65</v>
      </c>
      <c r="F5" s="15">
        <f t="shared" si="0"/>
        <v>0.35</v>
      </c>
      <c r="G5" s="15">
        <f t="shared" si="1"/>
        <v>2.0215827338129495</v>
      </c>
      <c r="H5" s="15">
        <f t="shared" si="2"/>
        <v>0.28057553956834536</v>
      </c>
      <c r="I5" s="22">
        <v>6.7216882512694878E-2</v>
      </c>
      <c r="J5" s="21">
        <f t="shared" si="3"/>
        <v>2.1435349940688018</v>
      </c>
      <c r="K5" s="20">
        <f t="shared" si="4"/>
        <v>2.1514351960996088</v>
      </c>
      <c r="L5" s="20">
        <f t="shared" si="5"/>
        <v>1.8285095734808636</v>
      </c>
      <c r="N5" s="6"/>
      <c r="O5" s="4" t="s">
        <v>34</v>
      </c>
    </row>
    <row r="6" spans="1:15" ht="15.6" x14ac:dyDescent="0.3">
      <c r="A6" s="27" t="e" vm="5">
        <v>#VALUE!</v>
      </c>
      <c r="B6" s="25" cm="1">
        <f t="array" ref="B6">_FV(A6,"Prix")</f>
        <v>13.03</v>
      </c>
      <c r="C6" s="16">
        <v>50</v>
      </c>
      <c r="D6" s="16">
        <v>7</v>
      </c>
      <c r="E6" s="23">
        <v>0.6</v>
      </c>
      <c r="F6" s="15">
        <f t="shared" si="0"/>
        <v>0.4</v>
      </c>
      <c r="G6" s="15">
        <f t="shared" si="1"/>
        <v>2.8372985418265544</v>
      </c>
      <c r="H6" s="15">
        <f t="shared" si="2"/>
        <v>0.46277820414428239</v>
      </c>
      <c r="I6" s="22">
        <v>5.0395906637195537E-2</v>
      </c>
      <c r="J6" s="21">
        <f t="shared" si="3"/>
        <v>1.1555382406334571</v>
      </c>
      <c r="K6" s="20">
        <f t="shared" si="4"/>
        <v>1.7613798949177764</v>
      </c>
      <c r="L6" s="20">
        <f t="shared" si="5"/>
        <v>1.7477399073536712</v>
      </c>
      <c r="N6" s="5"/>
      <c r="O6" s="4" t="s">
        <v>15</v>
      </c>
    </row>
    <row r="7" spans="1:15" ht="15.6" x14ac:dyDescent="0.3">
      <c r="A7" s="27" t="e" vm="6">
        <v>#VALUE!</v>
      </c>
      <c r="B7" s="25" cm="1">
        <f t="array" ref="B7">_FV(A7,"Prix")</f>
        <v>195.37</v>
      </c>
      <c r="C7" s="16">
        <v>500</v>
      </c>
      <c r="D7" s="16">
        <v>170</v>
      </c>
      <c r="E7" s="23">
        <v>0.7</v>
      </c>
      <c r="F7" s="15">
        <f t="shared" si="0"/>
        <v>0.30000000000000004</v>
      </c>
      <c r="G7" s="15">
        <f t="shared" si="1"/>
        <v>1.5592465578133798</v>
      </c>
      <c r="H7" s="15">
        <f t="shared" si="2"/>
        <v>0.12985617034345087</v>
      </c>
      <c r="I7" s="22">
        <v>7.4989433704850131E-2</v>
      </c>
      <c r="J7" s="21">
        <f t="shared" si="3"/>
        <v>5.1981788073750401</v>
      </c>
      <c r="K7" s="20">
        <f t="shared" si="4"/>
        <v>3.3501389187058952</v>
      </c>
      <c r="L7" s="20">
        <f t="shared" si="5"/>
        <v>1.851636797642181</v>
      </c>
    </row>
    <row r="8" spans="1:15" ht="15.6" x14ac:dyDescent="0.3">
      <c r="A8" s="27" t="e" vm="7">
        <v>#VALUE!</v>
      </c>
      <c r="B8" s="25" cm="1">
        <f t="array" ref="B8">_FV(A8,"Prix")</f>
        <v>9.08</v>
      </c>
      <c r="C8" s="16">
        <v>50</v>
      </c>
      <c r="D8" s="16">
        <v>6</v>
      </c>
      <c r="E8" s="23">
        <v>0.6</v>
      </c>
      <c r="F8" s="15">
        <f t="shared" si="0"/>
        <v>0.4</v>
      </c>
      <c r="G8" s="15">
        <f t="shared" si="1"/>
        <v>4.5066079295154182</v>
      </c>
      <c r="H8" s="15">
        <f t="shared" si="2"/>
        <v>0.33920704845814975</v>
      </c>
      <c r="I8" s="22">
        <v>0.16999999999999935</v>
      </c>
      <c r="J8" s="21">
        <f t="shared" si="3"/>
        <v>1.6800726155564865</v>
      </c>
      <c r="K8" s="20">
        <f t="shared" si="4"/>
        <v>2.5897792289335806</v>
      </c>
      <c r="L8" s="20">
        <f t="shared" si="5"/>
        <v>2.3580697889188587</v>
      </c>
    </row>
    <row r="9" spans="1:15" ht="15.6" x14ac:dyDescent="0.3">
      <c r="A9" s="27" t="e" vm="8">
        <v>#VALUE!</v>
      </c>
      <c r="B9" s="25" cm="1">
        <f t="array" ref="B9">_FV(A9,"Prix")</f>
        <v>12.75</v>
      </c>
      <c r="C9" s="16">
        <v>35</v>
      </c>
      <c r="D9" s="16">
        <v>11</v>
      </c>
      <c r="E9" s="23">
        <v>0.7</v>
      </c>
      <c r="F9" s="15">
        <f t="shared" si="0"/>
        <v>0.30000000000000004</v>
      </c>
      <c r="G9" s="15">
        <f t="shared" si="1"/>
        <v>1.7450980392156863</v>
      </c>
      <c r="H9" s="15">
        <f t="shared" si="2"/>
        <v>0.13725490196078427</v>
      </c>
      <c r="I9" s="22">
        <v>8.5429592090062137E-2</v>
      </c>
      <c r="J9" s="21">
        <f t="shared" si="3"/>
        <v>4.9280898876404509</v>
      </c>
      <c r="K9" s="20">
        <f t="shared" si="4"/>
        <v>3.4720870696734254</v>
      </c>
      <c r="L9" s="20">
        <f t="shared" si="5"/>
        <v>1.9397923927019554</v>
      </c>
    </row>
    <row r="10" spans="1:15" ht="15.6" x14ac:dyDescent="0.3">
      <c r="A10" s="27" t="e" vm="9">
        <v>#VALUE!</v>
      </c>
      <c r="B10" s="25" cm="1">
        <f t="array" ref="B10">_FV(A10,"Prix")</f>
        <v>5.36</v>
      </c>
      <c r="C10" s="16">
        <v>20</v>
      </c>
      <c r="D10" s="16">
        <v>4</v>
      </c>
      <c r="E10" s="23">
        <v>0.65</v>
      </c>
      <c r="F10" s="15">
        <f t="shared" si="0"/>
        <v>0.35</v>
      </c>
      <c r="G10" s="15">
        <f t="shared" si="1"/>
        <v>2.7313432835820892</v>
      </c>
      <c r="H10" s="15">
        <f t="shared" si="2"/>
        <v>0.25373134328358216</v>
      </c>
      <c r="I10" s="22">
        <v>8.648245574650569E-2</v>
      </c>
      <c r="J10" s="21">
        <f t="shared" si="3"/>
        <v>2.4336226293796202</v>
      </c>
      <c r="K10" s="20">
        <f t="shared" si="4"/>
        <v>2.6803889119197475</v>
      </c>
      <c r="L10" s="20">
        <f t="shared" si="5"/>
        <v>2.1243482068102719</v>
      </c>
    </row>
    <row r="11" spans="1:15" ht="15.6" x14ac:dyDescent="0.3">
      <c r="A11" s="27" t="e" vm="10">
        <v>#VALUE!</v>
      </c>
      <c r="B11" s="25" cm="1">
        <f t="array" ref="B11">_FV(A11,"Prix")</f>
        <v>285.77</v>
      </c>
      <c r="C11" s="16">
        <f>362</f>
        <v>362</v>
      </c>
      <c r="D11" s="16">
        <v>250</v>
      </c>
      <c r="E11" s="23">
        <v>0.65</v>
      </c>
      <c r="F11" s="15">
        <f t="shared" si="0"/>
        <v>0.35</v>
      </c>
      <c r="G11" s="15">
        <f t="shared" si="1"/>
        <v>0.26675298316828222</v>
      </c>
      <c r="H11" s="15">
        <f t="shared" si="2"/>
        <v>0.12517059173461165</v>
      </c>
      <c r="I11" s="22">
        <v>1.7001262081294636E-11</v>
      </c>
      <c r="J11" s="21">
        <f t="shared" si="3"/>
        <v>3.8808377571942825</v>
      </c>
      <c r="K11" s="20">
        <f t="shared" si="4"/>
        <v>1.2574888328743277</v>
      </c>
      <c r="L11" s="20">
        <f t="shared" si="5"/>
        <v>1.1128149181128502</v>
      </c>
    </row>
    <row r="12" spans="1:15" ht="15.6" x14ac:dyDescent="0.3">
      <c r="A12" s="27" t="e" vm="11">
        <v>#VALUE!</v>
      </c>
      <c r="B12" s="25" cm="1">
        <f t="array" ref="B12">_FV(A12,"Prix")</f>
        <v>3.8</v>
      </c>
      <c r="C12" s="16">
        <v>8</v>
      </c>
      <c r="D12" s="16">
        <v>4</v>
      </c>
      <c r="E12" s="23">
        <v>0.65</v>
      </c>
      <c r="F12" s="15">
        <f t="shared" si="0"/>
        <v>0.35</v>
      </c>
      <c r="G12" s="15">
        <f t="shared" si="1"/>
        <v>1.1052631578947367</v>
      </c>
      <c r="H12" s="15">
        <f t="shared" si="2"/>
        <v>-5.2631578947368363E-2</v>
      </c>
      <c r="I12" s="22">
        <v>3.6607278624831277E-2</v>
      </c>
      <c r="J12" s="21">
        <f t="shared" si="3"/>
        <v>-12.66666666666668</v>
      </c>
      <c r="K12" s="20" t="e">
        <f t="shared" si="4"/>
        <v>#NUM!</v>
      </c>
      <c r="L12" s="20">
        <f t="shared" si="5"/>
        <v>1.6517559955721068</v>
      </c>
    </row>
    <row r="13" spans="1:15" ht="15.6" x14ac:dyDescent="0.3">
      <c r="A13" s="27" t="e" vm="12">
        <v>#VALUE!</v>
      </c>
      <c r="B13" s="25" cm="1">
        <f t="array" ref="B13">_FV(A13,"Prix")</f>
        <v>31.61</v>
      </c>
      <c r="C13" s="16">
        <v>36</v>
      </c>
      <c r="D13" s="16">
        <v>26</v>
      </c>
      <c r="E13" s="23">
        <v>0.65</v>
      </c>
      <c r="F13" s="15">
        <f t="shared" si="0"/>
        <v>0.35</v>
      </c>
      <c r="G13" s="15">
        <f t="shared" si="1"/>
        <v>0.1388801012337868</v>
      </c>
      <c r="H13" s="15">
        <f t="shared" si="2"/>
        <v>0.17747548244226508</v>
      </c>
      <c r="I13" s="22">
        <v>1.5941546404832383E-15</v>
      </c>
      <c r="J13" s="21">
        <f t="shared" si="3"/>
        <v>1.1423182650571113</v>
      </c>
      <c r="K13" s="20">
        <f t="shared" si="4"/>
        <v>1.0165507273553536</v>
      </c>
      <c r="L13" s="20">
        <f t="shared" si="5"/>
        <v>1.0162786486910793</v>
      </c>
    </row>
    <row r="14" spans="1:15" ht="15.6" x14ac:dyDescent="0.3">
      <c r="A14" s="27" t="e" vm="13">
        <v>#VALUE!</v>
      </c>
      <c r="B14" s="25" cm="1">
        <f t="array" ref="B14">_FV(A14,"Prix")</f>
        <v>5.13</v>
      </c>
      <c r="C14" s="24">
        <v>12</v>
      </c>
      <c r="D14" s="8">
        <v>4</v>
      </c>
      <c r="E14" s="23">
        <v>0.65</v>
      </c>
      <c r="F14" s="15">
        <f t="shared" si="0"/>
        <v>0.35</v>
      </c>
      <c r="G14" s="15">
        <f t="shared" si="1"/>
        <v>1.3391812865497075</v>
      </c>
      <c r="H14" s="15">
        <f t="shared" si="2"/>
        <v>0.22027290448343073</v>
      </c>
      <c r="I14" s="22">
        <v>2.4953641813989864E-2</v>
      </c>
      <c r="J14" s="21">
        <f t="shared" si="3"/>
        <v>2.6895312439618202</v>
      </c>
      <c r="K14" s="20">
        <f t="shared" si="4"/>
        <v>1.9700245491947908</v>
      </c>
      <c r="L14" s="20">
        <f t="shared" si="5"/>
        <v>1.5924706681835097</v>
      </c>
    </row>
    <row r="15" spans="1:15" ht="15.6" x14ac:dyDescent="0.3">
      <c r="A15" s="27"/>
      <c r="B15" s="25" t="e" cm="1" vm="14">
        <f t="array" ref="B15">_FV(A15,"Prix")</f>
        <v>#VALUE!</v>
      </c>
      <c r="C15" s="24"/>
      <c r="D15" s="8"/>
      <c r="E15" s="23"/>
      <c r="F15" s="15">
        <f t="shared" si="0"/>
        <v>1</v>
      </c>
      <c r="G15" s="15" t="e" vm="15">
        <f t="shared" si="1"/>
        <v>#VALUE!</v>
      </c>
      <c r="H15" s="15" t="e" vm="15">
        <f t="shared" si="2"/>
        <v>#VALUE!</v>
      </c>
      <c r="I15" s="22"/>
      <c r="J15" s="21" t="e" vm="15">
        <f t="shared" si="3"/>
        <v>#VALUE!</v>
      </c>
      <c r="K15" s="20" t="e" vm="15">
        <f t="shared" si="4"/>
        <v>#VALUE!</v>
      </c>
      <c r="L15" s="20" t="e" vm="15">
        <f t="shared" si="5"/>
        <v>#VALUE!</v>
      </c>
    </row>
    <row r="16" spans="1:15" ht="15.6" x14ac:dyDescent="0.3">
      <c r="A16" s="27"/>
      <c r="B16" s="25" t="e" cm="1" vm="14">
        <f t="array" ref="B16">_FV(A16,"Prix")</f>
        <v>#VALUE!</v>
      </c>
      <c r="C16" s="24"/>
      <c r="D16" s="8"/>
      <c r="E16" s="23"/>
      <c r="F16" s="15">
        <f t="shared" si="0"/>
        <v>1</v>
      </c>
      <c r="G16" s="15" t="e" vm="15">
        <f t="shared" si="1"/>
        <v>#VALUE!</v>
      </c>
      <c r="H16" s="15" t="e" vm="15">
        <f t="shared" si="2"/>
        <v>#VALUE!</v>
      </c>
      <c r="I16" s="22"/>
      <c r="J16" s="21" t="e" vm="15">
        <f t="shared" si="3"/>
        <v>#VALUE!</v>
      </c>
      <c r="K16" s="20" t="e" vm="15">
        <f t="shared" si="4"/>
        <v>#VALUE!</v>
      </c>
      <c r="L16" s="20" t="e" vm="15">
        <f t="shared" si="5"/>
        <v>#VALUE!</v>
      </c>
    </row>
    <row r="17" spans="1:12" ht="15.6" x14ac:dyDescent="0.3">
      <c r="A17" s="27"/>
      <c r="B17" s="25" t="e" cm="1" vm="14">
        <f t="array" ref="B17">_FV(A17,"Prix")</f>
        <v>#VALUE!</v>
      </c>
      <c r="C17" s="24"/>
      <c r="D17" s="8"/>
      <c r="E17" s="23"/>
      <c r="F17" s="15">
        <f t="shared" si="0"/>
        <v>1</v>
      </c>
      <c r="G17" s="15" t="e" vm="15">
        <f t="shared" si="1"/>
        <v>#VALUE!</v>
      </c>
      <c r="H17" s="15" t="e" vm="15">
        <f t="shared" si="2"/>
        <v>#VALUE!</v>
      </c>
      <c r="I17" s="22"/>
      <c r="J17" s="21" t="e" vm="15">
        <f t="shared" si="3"/>
        <v>#VALUE!</v>
      </c>
      <c r="K17" s="20" t="e" vm="15">
        <f t="shared" si="4"/>
        <v>#VALUE!</v>
      </c>
      <c r="L17" s="20" t="e" vm="15">
        <f t="shared" si="5"/>
        <v>#VALUE!</v>
      </c>
    </row>
    <row r="18" spans="1:12" ht="15.6" x14ac:dyDescent="0.3">
      <c r="A18" s="27"/>
      <c r="B18" s="25" t="e" cm="1" vm="14">
        <f t="array" ref="B18">_FV(A18,"Prix")</f>
        <v>#VALUE!</v>
      </c>
      <c r="C18" s="24"/>
      <c r="D18" s="8"/>
      <c r="E18" s="23"/>
      <c r="F18" s="15">
        <f t="shared" si="0"/>
        <v>1</v>
      </c>
      <c r="G18" s="15" t="e" vm="15">
        <f t="shared" si="1"/>
        <v>#VALUE!</v>
      </c>
      <c r="H18" s="15" t="e" vm="15">
        <f t="shared" si="2"/>
        <v>#VALUE!</v>
      </c>
      <c r="I18" s="22"/>
      <c r="J18" s="21" t="e" vm="15">
        <f t="shared" si="3"/>
        <v>#VALUE!</v>
      </c>
      <c r="K18" s="20" t="e" vm="15">
        <f t="shared" si="4"/>
        <v>#VALUE!</v>
      </c>
      <c r="L18" s="20" t="e" vm="15">
        <f t="shared" si="5"/>
        <v>#VALUE!</v>
      </c>
    </row>
    <row r="19" spans="1:12" ht="15.6" x14ac:dyDescent="0.3">
      <c r="A19" s="27"/>
      <c r="B19" s="25" t="e" cm="1" vm="14">
        <f t="array" ref="B19">_FV(A19,"Prix")</f>
        <v>#VALUE!</v>
      </c>
      <c r="C19" s="24"/>
      <c r="D19" s="8"/>
      <c r="E19" s="23"/>
      <c r="F19" s="15">
        <f t="shared" si="0"/>
        <v>1</v>
      </c>
      <c r="G19" s="15" t="e" vm="15">
        <f t="shared" si="1"/>
        <v>#VALUE!</v>
      </c>
      <c r="H19" s="15" t="e" vm="15">
        <f t="shared" si="2"/>
        <v>#VALUE!</v>
      </c>
      <c r="I19" s="22"/>
      <c r="J19" s="21" t="e" vm="15">
        <f t="shared" si="3"/>
        <v>#VALUE!</v>
      </c>
      <c r="K19" s="20" t="e" vm="15">
        <f t="shared" si="4"/>
        <v>#VALUE!</v>
      </c>
      <c r="L19" s="20" t="e" vm="15">
        <f t="shared" si="5"/>
        <v>#VALUE!</v>
      </c>
    </row>
    <row r="20" spans="1:12" ht="15.6" x14ac:dyDescent="0.3">
      <c r="A20" s="27"/>
      <c r="B20" s="25" t="e" cm="1" vm="14">
        <f t="array" ref="B20">_FV(A20,"Prix")</f>
        <v>#VALUE!</v>
      </c>
      <c r="C20" s="24"/>
      <c r="D20" s="8"/>
      <c r="E20" s="23"/>
      <c r="F20" s="15">
        <f t="shared" si="0"/>
        <v>1</v>
      </c>
      <c r="G20" s="15" t="e" vm="15">
        <f t="shared" si="1"/>
        <v>#VALUE!</v>
      </c>
      <c r="H20" s="15" t="e" vm="15">
        <f t="shared" si="2"/>
        <v>#VALUE!</v>
      </c>
      <c r="I20" s="22"/>
      <c r="J20" s="21" t="e" vm="15">
        <f t="shared" si="3"/>
        <v>#VALUE!</v>
      </c>
      <c r="K20" s="20" t="e" vm="15">
        <f t="shared" si="4"/>
        <v>#VALUE!</v>
      </c>
      <c r="L20" s="20" t="e" vm="15">
        <f t="shared" si="5"/>
        <v>#VALUE!</v>
      </c>
    </row>
    <row r="21" spans="1:12" ht="15.6" x14ac:dyDescent="0.3">
      <c r="A21" s="26"/>
      <c r="B21" s="25" t="e" cm="1" vm="14">
        <f t="array" ref="B21">_FV(A21,"Prix")</f>
        <v>#VALUE!</v>
      </c>
      <c r="C21" s="24"/>
      <c r="D21" s="8"/>
      <c r="E21" s="23"/>
      <c r="F21" s="15">
        <f t="shared" si="0"/>
        <v>1</v>
      </c>
      <c r="G21" s="15" t="e" vm="15">
        <f t="shared" si="1"/>
        <v>#VALUE!</v>
      </c>
      <c r="H21" s="15" t="e" vm="15">
        <f t="shared" si="2"/>
        <v>#VALUE!</v>
      </c>
      <c r="I21" s="22"/>
      <c r="J21" s="21" t="e" vm="15">
        <f t="shared" si="3"/>
        <v>#VALUE!</v>
      </c>
      <c r="K21" s="20" t="e" vm="15">
        <f t="shared" si="4"/>
        <v>#VALUE!</v>
      </c>
      <c r="L21" s="20" t="e" vm="15">
        <f t="shared" si="5"/>
        <v>#VALUE!</v>
      </c>
    </row>
    <row r="22" spans="1:12" x14ac:dyDescent="0.25">
      <c r="I22" s="19"/>
      <c r="J22" s="19"/>
      <c r="K22" s="18"/>
      <c r="L22" s="11"/>
    </row>
    <row r="23" spans="1:12" ht="15.6" x14ac:dyDescent="0.3">
      <c r="A23" s="32" t="s">
        <v>30</v>
      </c>
      <c r="B23" s="33">
        <f>COUNT(B2:B21)</f>
        <v>13</v>
      </c>
      <c r="L23" s="11"/>
    </row>
    <row r="24" spans="1:12" ht="15.6" x14ac:dyDescent="0.3">
      <c r="A24" s="32" t="s">
        <v>31</v>
      </c>
      <c r="B24" s="8">
        <v>2</v>
      </c>
      <c r="L24" s="11"/>
    </row>
    <row r="25" spans="1:12" ht="15.6" x14ac:dyDescent="0.3">
      <c r="A25" s="32" t="s">
        <v>37</v>
      </c>
      <c r="B25" s="34">
        <v>1.5240087172015846</v>
      </c>
      <c r="G25" s="13"/>
      <c r="L25" s="11"/>
    </row>
    <row r="26" spans="1:12" ht="15.6" x14ac:dyDescent="0.3">
      <c r="A26" s="32" t="s">
        <v>38</v>
      </c>
      <c r="B26" s="35">
        <v>0.10684339186513912</v>
      </c>
      <c r="G26" s="13"/>
      <c r="L26" s="11"/>
    </row>
    <row r="27" spans="1:12" ht="15.6" x14ac:dyDescent="0.3">
      <c r="A27" s="32" t="s">
        <v>29</v>
      </c>
      <c r="B27" s="16">
        <v>10</v>
      </c>
      <c r="G27" s="13"/>
      <c r="L27" s="11"/>
    </row>
    <row r="28" spans="1:12" ht="15.6" x14ac:dyDescent="0.3">
      <c r="A28" s="32" t="s">
        <v>32</v>
      </c>
      <c r="B28" s="23">
        <v>1</v>
      </c>
      <c r="G28" s="13"/>
      <c r="L28" s="11"/>
    </row>
    <row r="29" spans="1:12" ht="15.6" x14ac:dyDescent="0.3">
      <c r="A29" s="32" t="s">
        <v>33</v>
      </c>
      <c r="B29" s="14">
        <v>0.17</v>
      </c>
      <c r="G29" s="13"/>
      <c r="L29" s="11"/>
    </row>
    <row r="30" spans="1:12" ht="15.6" x14ac:dyDescent="0.3">
      <c r="A30" s="32" t="s">
        <v>19</v>
      </c>
      <c r="B30" s="17">
        <v>1</v>
      </c>
      <c r="H30" s="12"/>
      <c r="L30" s="11"/>
    </row>
    <row r="31" spans="1:12" x14ac:dyDescent="0.25">
      <c r="J31"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mpleCall">
                <anchor moveWithCells="1" sizeWithCells="1">
                  <from>
                    <xdr:col>8</xdr:col>
                    <xdr:colOff>22860</xdr:colOff>
                    <xdr:row>22</xdr:row>
                    <xdr:rowOff>22860</xdr:rowOff>
                  </from>
                  <to>
                    <xdr:col>11</xdr:col>
                    <xdr:colOff>1066800</xdr:colOff>
                    <xdr:row>29</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11" defaultRowHeight="15.6" x14ac:dyDescent="0.3"/>
  <sheetData/>
  <pageMargins left="0.75" right="0.75" top="1" bottom="1"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984375" defaultRowHeight="15.6" x14ac:dyDescent="0.3"/>
  <cols>
    <col min="1" max="1" width="14.69921875" style="1" customWidth="1"/>
    <col min="2" max="2" width="9.19921875" style="1" customWidth="1"/>
    <col min="3" max="16384" width="8.8984375" style="1"/>
  </cols>
  <sheetData>
    <row r="1" spans="1:2" x14ac:dyDescent="0.3">
      <c r="A1" s="1" t="s">
        <v>8</v>
      </c>
      <c r="B1" s="1" t="s">
        <v>13</v>
      </c>
    </row>
    <row r="2" spans="1:2" x14ac:dyDescent="0.3">
      <c r="A2" s="1" t="s">
        <v>9</v>
      </c>
    </row>
    <row r="3" spans="1:2" x14ac:dyDescent="0.3">
      <c r="A3" s="1" t="s">
        <v>0</v>
      </c>
    </row>
    <row r="4" spans="1:2" x14ac:dyDescent="0.3">
      <c r="A4" s="1" t="s">
        <v>7</v>
      </c>
    </row>
    <row r="5" spans="1:2" x14ac:dyDescent="0.3">
      <c r="A5" s="1" t="s">
        <v>5</v>
      </c>
    </row>
    <row r="6" spans="1:2" x14ac:dyDescent="0.3">
      <c r="A6" s="1" t="s">
        <v>1</v>
      </c>
    </row>
    <row r="7" spans="1:2" x14ac:dyDescent="0.3">
      <c r="A7" s="1" t="s">
        <v>2</v>
      </c>
      <c r="B7" s="1" t="b">
        <v>0</v>
      </c>
    </row>
    <row r="8" spans="1:2" x14ac:dyDescent="0.3">
      <c r="A8" s="1" t="s">
        <v>3</v>
      </c>
      <c r="B8" s="1" t="b">
        <v>0</v>
      </c>
    </row>
    <row r="9" spans="1:2" x14ac:dyDescent="0.3">
      <c r="A9" s="1" t="s">
        <v>12</v>
      </c>
      <c r="B9" s="1" t="b">
        <v>0</v>
      </c>
    </row>
    <row r="13" spans="1:2" x14ac:dyDescent="0.3">
      <c r="A13" s="2" t="s">
        <v>4</v>
      </c>
    </row>
    <row r="14" spans="1:2" x14ac:dyDescent="0.3">
      <c r="A14" s="1" t="s">
        <v>10</v>
      </c>
    </row>
    <row r="15" spans="1:2" x14ac:dyDescent="0.3">
      <c r="A15" s="1" t="s">
        <v>14</v>
      </c>
    </row>
    <row r="16" spans="1:2" x14ac:dyDescent="0.3">
      <c r="A16" s="1" t="s">
        <v>6</v>
      </c>
    </row>
    <row r="17" spans="1:1" x14ac:dyDescent="0.3">
      <c r="A17" s="1" t="s">
        <v>11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Sheet1</vt:lpstr>
      <vt:lpstr>_xlwings.conf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May, David (SE GP I PR TI PTS GTT)</cp:lastModifiedBy>
  <dcterms:created xsi:type="dcterms:W3CDTF">2015-01-25T11:31:25Z</dcterms:created>
  <dcterms:modified xsi:type="dcterms:W3CDTF">2022-09-10T18:48:58Z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2022-09-10T15:47:33Z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09abecea-de2b-4186-865a-c956f4134496</vt:lpwstr>
  </property>
  <property fmtid="{D5CDD505-2E9C-101B-9397-08002B2CF9AE}" pid="8" name="MSIP_Label_36791f77-3d39-4d72-9277-ac879ec799ed_ContentBits">
    <vt:lpwstr>0</vt:lpwstr>
  </property>
</Properties>
</file>