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128" codeName="{AE6600E7-7A62-396C-DE95-9942FA9DD81E}"/>
  <workbookPr codeName="ThisWorkbook" autoCompressPictures="0"/>
  <mc:AlternateContent xmlns:mc="http://schemas.openxmlformats.org/markup-compatibility/2006">
    <mc:Choice Requires="x15">
      <x15ac:absPath xmlns:x15ac="http://schemas.microsoft.com/office/spreadsheetml/2010/11/ac" url="C:\Users\z003eb4h\Documents\codes\GitHub\Pfoolio\"/>
    </mc:Choice>
  </mc:AlternateContent>
  <xr:revisionPtr revIDLastSave="0" documentId="13_ncr:1_{F4C7F32E-AFF4-400D-B841-E9251D89BFEC}" xr6:coauthVersionLast="47" xr6:coauthVersionMax="47" xr10:uidLastSave="{00000000-0000-0000-0000-000000000000}"/>
  <bookViews>
    <workbookView xWindow="-108" yWindow="-108" windowWidth="23256" windowHeight="12576" tabRatio="500" xr2:uid="{00000000-000D-0000-FFFF-FFFF00000000}"/>
  </bookViews>
  <sheets>
    <sheet name="Inputs" sheetId="3" r:id="rId1"/>
    <sheet name="Sheet1" sheetId="1" state="hidden" r:id="rId2"/>
    <sheet name="_xlwings.conf" sheetId="2" state="hidden" r:id="rId3"/>
  </sheets>
  <functionGroups builtInGroupCount="19"/>
  <definedNames>
    <definedName name="solver_adj" localSheetId="0" hidden="1">Inputs!$I$2:$I$21</definedName>
    <definedName name="solver_cvg" localSheetId="0" hidden="1">0.0001</definedName>
    <definedName name="solver_drv" localSheetId="0" hidden="1">2</definedName>
    <definedName name="solver_eng" localSheetId="0" hidden="1">1</definedName>
    <definedName name="solver_est" localSheetId="0" hidden="1">1</definedName>
    <definedName name="solver_itr" localSheetId="0" hidden="1">2147483647</definedName>
    <definedName name="solver_lhs1" localSheetId="0" hidden="1">Inputs!$B$30</definedName>
    <definedName name="solver_lhs2" localSheetId="0" hidden="1">Inputs!$I$2</definedName>
    <definedName name="solver_lhs3" localSheetId="0" hidden="1">Inputs!$I$3</definedName>
    <definedName name="solver_lhs4" localSheetId="0" hidden="1">Inputs!$I$4</definedName>
    <definedName name="solver_lhs5" localSheetId="0" hidden="1">Inputs!$I$5</definedName>
    <definedName name="solver_lhs6" localSheetId="0" hidden="1">Inputs!$I$6</definedName>
    <definedName name="solver_lhs7" localSheetId="0" hidden="1">Inputs!$I$7</definedName>
    <definedName name="solver_lhs8" localSheetId="0" hidden="1">Inputs!$I$8</definedName>
    <definedName name="solver_lhs9" localSheetId="0" hidden="1">Inputs!#REF!</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9</definedName>
    <definedName name="solver_nwt" localSheetId="0" hidden="1">1</definedName>
    <definedName name="solver_opt" localSheetId="0" hidden="1">Inputs!#REF!</definedName>
    <definedName name="solver_pre" localSheetId="0" hidden="1">0.000001</definedName>
    <definedName name="solver_rbv" localSheetId="0" hidden="1">2</definedName>
    <definedName name="solver_rel1" localSheetId="0" hidden="1">1</definedName>
    <definedName name="solver_rel2" localSheetId="0" hidden="1">1</definedName>
    <definedName name="solver_rel3" localSheetId="0" hidden="1">1</definedName>
    <definedName name="solver_rel4" localSheetId="0" hidden="1">1</definedName>
    <definedName name="solver_rel5" localSheetId="0" hidden="1">1</definedName>
    <definedName name="solver_rel6" localSheetId="0" hidden="1">1</definedName>
    <definedName name="solver_rel7" localSheetId="0" hidden="1">1</definedName>
    <definedName name="solver_rel8" localSheetId="0" hidden="1">1</definedName>
    <definedName name="solver_rel9" localSheetId="0" hidden="1">1</definedName>
    <definedName name="solver_rhs1" localSheetId="0" hidden="1">Inputs!$B$28</definedName>
    <definedName name="solver_rhs2" localSheetId="0" hidden="1">Inputs!$B$29</definedName>
    <definedName name="solver_rhs3" localSheetId="0" hidden="1">Inputs!$B$29</definedName>
    <definedName name="solver_rhs4" localSheetId="0" hidden="1">Inputs!$B$29</definedName>
    <definedName name="solver_rhs5" localSheetId="0" hidden="1">Inputs!$B$29</definedName>
    <definedName name="solver_rhs6" localSheetId="0" hidden="1">Inputs!$B$29</definedName>
    <definedName name="solver_rhs7" localSheetId="0" hidden="1">Inputs!$B$29</definedName>
    <definedName name="solver_rhs8" localSheetId="0" hidden="1">Inputs!$B$29</definedName>
    <definedName name="solver_rhs9" localSheetId="0" hidden="1">Inputs!$B$29</definedName>
    <definedName name="solver_rlx" localSheetId="0" hidden="1">2</definedName>
    <definedName name="solver_rsd" localSheetId="0" hidden="1">0</definedName>
    <definedName name="solver_scl" localSheetId="0" hidden="1">2</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1</definedName>
    <definedName name="solver_val" localSheetId="0" hidden="1">0</definedName>
    <definedName name="solver_ver" localSheetId="0" hidden="1">3</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M2" i="3" l="1" a="1"/>
  <c r="M2" i="3" s="1"/>
  <c r="M3" i="3" a="1"/>
  <c r="M3" i="3" s="1"/>
  <c r="M4" i="3" a="1"/>
  <c r="M4" i="3" s="1"/>
  <c r="M5" i="3" a="1"/>
  <c r="M5" i="3" s="1"/>
  <c r="M6" i="3" a="1"/>
  <c r="M6" i="3" s="1"/>
  <c r="M7" i="3" a="1"/>
  <c r="M7" i="3" s="1"/>
  <c r="M8" i="3" a="1"/>
  <c r="M8" i="3" s="1"/>
  <c r="M9" i="3" a="1"/>
  <c r="M9" i="3" s="1"/>
  <c r="M10" i="3" a="1"/>
  <c r="M10" i="3" s="1"/>
  <c r="M11" i="3" a="1"/>
  <c r="M11" i="3" s="1"/>
  <c r="M12" i="3" a="1"/>
  <c r="M12" i="3" s="1"/>
  <c r="M13" i="3" a="1"/>
  <c r="M13" i="3" s="1"/>
  <c r="M14" i="3" a="1"/>
  <c r="M14" i="3" s="1"/>
  <c r="M15" i="3" a="1"/>
  <c r="M15" i="3" s="1"/>
  <c r="M16" i="3" a="1"/>
  <c r="M16" i="3" s="1"/>
  <c r="M17" i="3" a="1"/>
  <c r="M17" i="3" s="1"/>
  <c r="M18" i="3" a="1"/>
  <c r="M18" i="3" s="1"/>
  <c r="M19" i="3" a="1"/>
  <c r="M19" i="3" s="1"/>
  <c r="M20" i="3" a="1"/>
  <c r="M20" i="3" s="1"/>
  <c r="M21" i="3" a="1"/>
  <c r="M21" i="3" s="1"/>
  <c r="B14" i="3" l="1" a="1"/>
  <c r="B14" i="3" s="1"/>
  <c r="C10" i="3"/>
  <c r="B3" i="3" a="1"/>
  <c r="B3" i="3" s="1"/>
  <c r="B4" i="3" a="1"/>
  <c r="B4" i="3" s="1"/>
  <c r="B5" i="3" a="1"/>
  <c r="B5" i="3" s="1"/>
  <c r="B6" i="3" a="1"/>
  <c r="B6" i="3" s="1"/>
  <c r="B7" i="3" a="1"/>
  <c r="B7" i="3" s="1"/>
  <c r="B8" i="3" a="1"/>
  <c r="B8" i="3" s="1"/>
  <c r="B9" i="3" a="1"/>
  <c r="B9" i="3" s="1"/>
  <c r="B10" i="3" a="1"/>
  <c r="B10" i="3" s="1"/>
  <c r="B11" i="3" a="1"/>
  <c r="B11" i="3" s="1"/>
  <c r="B12" i="3" a="1"/>
  <c r="B12" i="3" s="1"/>
  <c r="B13" i="3" a="1"/>
  <c r="B13" i="3" s="1"/>
  <c r="B2" i="3" l="1" a="1"/>
  <c r="B2" i="3" s="1"/>
  <c r="F2" i="3"/>
  <c r="F3" i="3"/>
  <c r="F4" i="3"/>
  <c r="F5" i="3"/>
  <c r="F6" i="3"/>
  <c r="F7" i="3"/>
  <c r="F8" i="3"/>
  <c r="F9" i="3"/>
  <c r="F10" i="3"/>
  <c r="H11" i="3"/>
  <c r="F11" i="3"/>
  <c r="F12" i="3"/>
  <c r="F13" i="3"/>
  <c r="F14" i="3"/>
  <c r="B15" i="3" a="1"/>
  <c r="B15" i="3" s="1"/>
  <c r="F15" i="3"/>
  <c r="B16" i="3" a="1"/>
  <c r="B16" i="3" s="1"/>
  <c r="F16" i="3"/>
  <c r="B17" i="3" a="1"/>
  <c r="B17" i="3" s="1"/>
  <c r="F17" i="3"/>
  <c r="B18" i="3" a="1"/>
  <c r="B18" i="3" s="1"/>
  <c r="F18" i="3"/>
  <c r="B19" i="3" a="1"/>
  <c r="B19" i="3" s="1"/>
  <c r="F19" i="3"/>
  <c r="B20" i="3" a="1"/>
  <c r="B20" i="3" s="1"/>
  <c r="F20" i="3"/>
  <c r="B21" i="3" a="1"/>
  <c r="B21" i="3" s="1"/>
  <c r="F21" i="3"/>
  <c r="B23" i="3" l="1"/>
  <c r="G11" i="3"/>
  <c r="L11" i="3" s="1"/>
  <c r="G16" i="3"/>
  <c r="H16" i="3"/>
  <c r="J16" i="3" s="1"/>
  <c r="K16" i="3" s="1"/>
  <c r="G8" i="3"/>
  <c r="H8" i="3"/>
  <c r="G15" i="3"/>
  <c r="H15" i="3"/>
  <c r="J15" i="3" s="1"/>
  <c r="K15" i="3" s="1"/>
  <c r="G7" i="3"/>
  <c r="H7" i="3"/>
  <c r="G5" i="3"/>
  <c r="H5" i="3"/>
  <c r="G14" i="3"/>
  <c r="H14" i="3"/>
  <c r="G6" i="3"/>
  <c r="H6" i="3"/>
  <c r="G21" i="3"/>
  <c r="L21" i="3" s="1"/>
  <c r="H21" i="3"/>
  <c r="G13" i="3"/>
  <c r="H13" i="3"/>
  <c r="G20" i="3"/>
  <c r="H20" i="3"/>
  <c r="J20" i="3" s="1"/>
  <c r="K20" i="3" s="1"/>
  <c r="G12" i="3"/>
  <c r="H12" i="3"/>
  <c r="G4" i="3"/>
  <c r="H4" i="3"/>
  <c r="G3" i="3"/>
  <c r="H3" i="3"/>
  <c r="G18" i="3"/>
  <c r="L18" i="3" s="1"/>
  <c r="H18" i="3"/>
  <c r="J18" i="3" s="1"/>
  <c r="K18" i="3" s="1"/>
  <c r="G19" i="3"/>
  <c r="H19" i="3"/>
  <c r="G10" i="3"/>
  <c r="H10" i="3"/>
  <c r="G9" i="3"/>
  <c r="H9" i="3"/>
  <c r="G2" i="3"/>
  <c r="H2" i="3"/>
  <c r="G17" i="3"/>
  <c r="H17" i="3"/>
  <c r="J17" i="3" s="1"/>
  <c r="K17" i="3" s="1"/>
  <c r="J14" i="3" l="1"/>
  <c r="K14" i="3" s="1"/>
  <c r="L16" i="3"/>
  <c r="J19" i="3"/>
  <c r="K19" i="3" s="1"/>
  <c r="J12" i="3"/>
  <c r="K12" i="3" s="1"/>
  <c r="J2" i="3"/>
  <c r="K2" i="3" s="1"/>
  <c r="J9" i="3"/>
  <c r="K9" i="3" s="1"/>
  <c r="J10" i="3"/>
  <c r="K10" i="3" s="1"/>
  <c r="J4" i="3"/>
  <c r="K4" i="3" s="1"/>
  <c r="J7" i="3"/>
  <c r="K7" i="3" s="1"/>
  <c r="J6" i="3"/>
  <c r="K6" i="3" s="1"/>
  <c r="L8" i="3"/>
  <c r="J11" i="3"/>
  <c r="K11" i="3" s="1"/>
  <c r="L5" i="3"/>
  <c r="J13" i="3"/>
  <c r="K13" i="3" s="1"/>
  <c r="L3" i="3"/>
  <c r="J21" i="3"/>
  <c r="K21" i="3" s="1"/>
  <c r="L14" i="3"/>
  <c r="J3" i="3"/>
  <c r="K3" i="3" s="1"/>
  <c r="J5" i="3"/>
  <c r="K5" i="3" s="1"/>
  <c r="L6" i="3"/>
  <c r="L10" i="3"/>
  <c r="L13" i="3"/>
  <c r="L17" i="3"/>
  <c r="L4" i="3"/>
  <c r="L7" i="3"/>
  <c r="L15" i="3"/>
  <c r="J8" i="3"/>
  <c r="K8" i="3" s="1"/>
  <c r="L19" i="3"/>
  <c r="L2" i="3"/>
  <c r="L12" i="3"/>
  <c r="L9" i="3"/>
  <c r="L20" i="3"/>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5">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futureMetadata>
  <cellMetadata count="1">
    <bk>
      <rc t="1" v="0"/>
    </bk>
  </cellMetadata>
  <valueMetadata count="15">
    <bk>
      <rc t="2" v="0"/>
    </bk>
    <bk>
      <rc t="2" v="1"/>
    </bk>
    <bk>
      <rc t="2" v="2"/>
    </bk>
    <bk>
      <rc t="2" v="3"/>
    </bk>
    <bk>
      <rc t="2" v="4"/>
    </bk>
    <bk>
      <rc t="2" v="5"/>
    </bk>
    <bk>
      <rc t="2" v="6"/>
    </bk>
    <bk>
      <rc t="2" v="7"/>
    </bk>
    <bk>
      <rc t="2" v="8"/>
    </bk>
    <bk>
      <rc t="2" v="9"/>
    </bk>
    <bk>
      <rc t="2" v="10"/>
    </bk>
    <bk>
      <rc t="2" v="11"/>
    </bk>
    <bk>
      <rc t="2" v="12"/>
    </bk>
    <bk>
      <rc t="2" v="13"/>
    </bk>
    <bk>
      <rc t="2" v="14"/>
    </bk>
  </valueMetadata>
</metadata>
</file>

<file path=xl/sharedStrings.xml><?xml version="1.0" encoding="utf-8"?>
<sst xmlns="http://schemas.openxmlformats.org/spreadsheetml/2006/main" count="39" uniqueCount="39">
  <si>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</si>
  <si>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</si>
  <si>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</si>
  <si>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</si>
  <si>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</si>
  <si>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</si>
  <si>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</si>
  <si>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</si>
  <si>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</si>
  <si>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</si>
  <si>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</si>
  <si>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If you delete a row from here, it will fall back to the first non-empty value xlwings finds in an xlwings.conf file and otherwise use the default values.</t>
  </si>
  <si>
    <t>Show Console</t>
  </si>
  <si>
    <t>python</t>
  </si>
  <si>
    <t>Rename this sheet to "xlwings.conf" to activate it (remove the leading underscore).  The settings have to start in cell A1.</t>
  </si>
  <si>
    <t>= for info</t>
  </si>
  <si>
    <t>= calculated</t>
  </si>
  <si>
    <t>= input</t>
  </si>
  <si>
    <t>= automatically updated</t>
  </si>
  <si>
    <t>f, bankroll fraction</t>
  </si>
  <si>
    <t>Analytically calculated growth, f=100%
E(g)</t>
  </si>
  <si>
    <t>Analytically calculated growth, f=f*
E(g)</t>
  </si>
  <si>
    <r>
      <rPr>
        <b/>
        <sz val="10"/>
        <color theme="1"/>
        <rFont val="Arial"/>
        <family val="2"/>
      </rPr>
      <t>Analytical f*, 
for a single position</t>
    </r>
    <r>
      <rPr>
        <sz val="12"/>
        <color theme="1"/>
        <rFont val="Calibri"/>
        <family val="2"/>
        <scheme val="minor"/>
      </rPr>
      <t xml:space="preserve"> 
[% to invest]</t>
    </r>
  </si>
  <si>
    <r>
      <t xml:space="preserve">Wi, 
</t>
    </r>
    <r>
      <rPr>
        <sz val="12"/>
        <color theme="1"/>
        <rFont val="Calibri"/>
        <family val="2"/>
        <scheme val="minor"/>
      </rPr>
      <t>Portfolio weight</t>
    </r>
  </si>
  <si>
    <r>
      <rPr>
        <b/>
        <sz val="10"/>
        <color theme="1"/>
        <rFont val="Arial"/>
        <family val="2"/>
      </rPr>
      <t>a</t>
    </r>
    <r>
      <rPr>
        <sz val="12"/>
        <color theme="1"/>
        <rFont val="Calibri"/>
        <family val="2"/>
        <scheme val="minor"/>
      </rPr>
      <t xml:space="preserve">
loss</t>
    </r>
  </si>
  <si>
    <r>
      <rPr>
        <b/>
        <sz val="10"/>
        <color theme="1"/>
        <rFont val="Arial"/>
        <family val="2"/>
      </rPr>
      <t xml:space="preserve">b </t>
    </r>
    <r>
      <rPr>
        <sz val="12"/>
        <color theme="1"/>
        <rFont val="Calibri"/>
        <family val="2"/>
        <scheme val="minor"/>
      </rPr>
      <t xml:space="preserve">
gain</t>
    </r>
  </si>
  <si>
    <r>
      <rPr>
        <b/>
        <sz val="10"/>
        <color theme="1"/>
        <rFont val="Arial"/>
        <family val="2"/>
      </rPr>
      <t>q =p-1</t>
    </r>
    <r>
      <rPr>
        <sz val="12"/>
        <color theme="1"/>
        <rFont val="Calibri"/>
        <family val="2"/>
        <scheme val="minor"/>
      </rPr>
      <t xml:space="preserve">
</t>
    </r>
    <r>
      <rPr>
        <sz val="12"/>
        <color theme="1"/>
        <rFont val="Calibri"/>
        <family val="2"/>
        <scheme val="minor"/>
      </rPr>
      <t>Downside probability</t>
    </r>
  </si>
  <si>
    <r>
      <rPr>
        <b/>
        <sz val="10"/>
        <color theme="1"/>
        <rFont val="Arial"/>
        <family val="2"/>
      </rPr>
      <t xml:space="preserve">p </t>
    </r>
    <r>
      <rPr>
        <sz val="12"/>
        <color theme="1"/>
        <rFont val="Calibri"/>
        <family val="2"/>
        <scheme val="minor"/>
      </rPr>
      <t xml:space="preserve">
</t>
    </r>
    <r>
      <rPr>
        <sz val="12"/>
        <color theme="1"/>
        <rFont val="Calibri"/>
        <family val="2"/>
        <scheme val="minor"/>
      </rPr>
      <t>Upside probabilty</t>
    </r>
  </si>
  <si>
    <t>Current Price</t>
  </si>
  <si>
    <t>Objective Weighting factor, t</t>
  </si>
  <si>
    <t>Stocks</t>
  </si>
  <si>
    <t>Years to price target</t>
  </si>
  <si>
    <t>Max Leverage, Fmax</t>
  </si>
  <si>
    <t>Max postion size, fmax</t>
  </si>
  <si>
    <r>
      <t xml:space="preserve">= calculated using the </t>
    </r>
    <r>
      <rPr>
        <b/>
        <sz val="10"/>
        <color theme="1"/>
        <rFont val="Arial"/>
        <family val="2"/>
      </rPr>
      <t>Optimize</t>
    </r>
    <r>
      <rPr>
        <sz val="12"/>
        <color theme="1"/>
        <rFont val="Calibri"/>
        <family val="2"/>
        <scheme val="minor"/>
      </rPr>
      <t xml:space="preserve"> button</t>
    </r>
  </si>
  <si>
    <t>Return: Growth, E(g)</t>
  </si>
  <si>
    <t>Risk: Semi-deviation below 20% return</t>
  </si>
  <si>
    <t xml:space="preserve">
Upside</t>
  </si>
  <si>
    <t xml:space="preserve">
Downside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</si>
</sst>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0.0%"/>
    <numFmt numFmtId="165" formatCode="_([$$-409]* #,##0.00_);_([$$-409]* \(#,##0.00\);_([$$-409]* &quot;-&quot;??_);_(@_)"/>
    <numFmt numFmtId="166" formatCode="0.0000000000000000%"/>
    <numFmt numFmtId="167" formatCode="_-[$$-409]* #,##0.00_ ;_-[$$-409]* \-#,##0.00\ ;_-[$$-409]* &quot;-&quot;??_ ;_-@_ "/>
    <numFmt numFmtId="168" formatCode="0.0"/>
    <numFmt numFmtId="169" formatCode="0.000"/>
  </numFmts>
  <fonts count="6" x14ac:knownFonts="1">
    <font>
      <sz val="12"/>
      <color theme="1"/>
      <name val="Calibri"/>
      <family val="2"/>
      <scheme val="minor"/>
    </font>
    <font>
      <sz val="10"/>
      <color theme="1"/>
      <name val="Arial"/>
      <family val="2"/>
    </font>
    <font>
      <b/>
      <sz val="12"/>
      <color theme="1"/>
      <name val="Calibri"/>
      <family val="2"/>
      <scheme val="minor"/>
    </font>
    <font>
      <b/>
      <sz val="10"/>
      <color theme="1"/>
      <name val="Arial"/>
      <family val="2"/>
    </font>
    <font>
      <b/>
      <sz val="12"/>
      <color theme="1"/>
      <name val="Arial"/>
      <family val="2"/>
    </font>
    <font>
      <b/>
      <sz val="12"/>
      <color rgb="FF000000"/>
      <name val="Arial"/>
      <family val="2"/>
    </font>
  </fonts>
  <fills count="8">
    <fill>
      <patternFill patternType="none"/>
    </fill>
    <fill>
      <patternFill patternType="gray125"/>
    </fill>
    <fill>
      <patternFill patternType="solid">
        <fgColor theme="0" tint="-0.34998626667073579"/>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C000"/>
        <bgColor indexed="64"/>
      </patternFill>
    </fill>
    <fill>
      <patternFill patternType="solid">
        <fgColor theme="0" tint="-0.149998474074526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7">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cellStyleXfs>
  <cellXfs count="40">
    <xf numFmtId="0" fontId="0" fillId="0" borderId="0" xfId="0"/>
    <xf numFmtId="0" fontId="0" fillId="0" borderId="0" xfId="0" applyAlignment="1">
      <alignment vertical="center"/>
    </xf>
    <xf numFmtId="0" fontId="2" fillId="0" borderId="0" xfId="0" applyFont="1" applyAlignment="1">
      <alignment vertical="center"/>
    </xf>
    <xf numFmtId="0" fontId="1" fillId="0" borderId="0" xfId="6"/>
    <xf numFmtId="0" fontId="1" fillId="0" borderId="0" xfId="6" quotePrefix="1"/>
    <xf numFmtId="0" fontId="1" fillId="2" borderId="1" xfId="6" applyFill="1" applyBorder="1"/>
    <xf numFmtId="0" fontId="1" fillId="3" borderId="1" xfId="6" applyFill="1" applyBorder="1"/>
    <xf numFmtId="0" fontId="1" fillId="4" borderId="1" xfId="6" applyFill="1" applyBorder="1"/>
    <xf numFmtId="0" fontId="1" fillId="5" borderId="1" xfId="6" applyFill="1" applyBorder="1"/>
    <xf numFmtId="0" fontId="1" fillId="6" borderId="1" xfId="6" applyFill="1" applyBorder="1"/>
    <xf numFmtId="164" fontId="1" fillId="0" borderId="0" xfId="6" applyNumberFormat="1"/>
    <xf numFmtId="165" fontId="1" fillId="0" borderId="0" xfId="6" applyNumberFormat="1"/>
    <xf numFmtId="166" fontId="1" fillId="0" borderId="0" xfId="6" applyNumberFormat="1"/>
    <xf numFmtId="167" fontId="1" fillId="0" borderId="0" xfId="6" applyNumberFormat="1"/>
    <xf numFmtId="164" fontId="1" fillId="5" borderId="1" xfId="6" applyNumberFormat="1" applyFill="1" applyBorder="1"/>
    <xf numFmtId="9" fontId="1" fillId="4" borderId="1" xfId="6" applyNumberFormat="1" applyFill="1" applyBorder="1"/>
    <xf numFmtId="168" fontId="1" fillId="5" borderId="1" xfId="6" applyNumberFormat="1" applyFill="1" applyBorder="1"/>
    <xf numFmtId="9" fontId="3" fillId="4" borderId="1" xfId="6" applyNumberFormat="1" applyFont="1" applyFill="1" applyBorder="1"/>
    <xf numFmtId="9" fontId="1" fillId="0" borderId="0" xfId="6" applyNumberFormat="1"/>
    <xf numFmtId="2" fontId="1" fillId="0" borderId="0" xfId="6" applyNumberFormat="1"/>
    <xf numFmtId="9" fontId="1" fillId="2" borderId="1" xfId="6" applyNumberFormat="1" applyFill="1" applyBorder="1"/>
    <xf numFmtId="169" fontId="1" fillId="2" borderId="1" xfId="6" applyNumberFormat="1" applyFill="1" applyBorder="1"/>
    <xf numFmtId="9" fontId="4" fillId="3" borderId="1" xfId="6" applyNumberFormat="1" applyFont="1" applyFill="1" applyBorder="1"/>
    <xf numFmtId="9" fontId="1" fillId="5" borderId="1" xfId="6" applyNumberFormat="1" applyFill="1" applyBorder="1"/>
    <xf numFmtId="1" fontId="1" fillId="5" borderId="1" xfId="6" applyNumberFormat="1" applyFill="1" applyBorder="1"/>
    <xf numFmtId="165" fontId="1" fillId="6" borderId="1" xfId="6" applyNumberFormat="1" applyFill="1" applyBorder="1"/>
    <xf numFmtId="0" fontId="1" fillId="7" borderId="2" xfId="6" applyFill="1" applyBorder="1"/>
    <xf numFmtId="0" fontId="1" fillId="7" borderId="3" xfId="6" applyFill="1" applyBorder="1"/>
    <xf numFmtId="0" fontId="1" fillId="7" borderId="4" xfId="6" applyFill="1" applyBorder="1"/>
    <xf numFmtId="0" fontId="1" fillId="0" borderId="0" xfId="6" applyAlignment="1">
      <alignment horizontal="left"/>
    </xf>
    <xf numFmtId="0" fontId="3" fillId="0" borderId="0" xfId="6" applyFont="1" applyAlignment="1">
      <alignment horizontal="left" wrapText="1"/>
    </xf>
    <xf numFmtId="0" fontId="1" fillId="0" borderId="0" xfId="6" applyAlignment="1">
      <alignment horizontal="left" wrapText="1"/>
    </xf>
    <xf numFmtId="0" fontId="4" fillId="0" borderId="0" xfId="6" applyFont="1"/>
    <xf numFmtId="0" fontId="3" fillId="4" borderId="1" xfId="6" applyFont="1" applyFill="1" applyBorder="1"/>
    <xf numFmtId="9" fontId="3" fillId="3" borderId="1" xfId="6" applyNumberFormat="1" applyFont="1" applyFill="1" applyBorder="1"/>
    <xf numFmtId="164" fontId="3" fillId="3" borderId="1" xfId="6" applyNumberFormat="1" applyFont="1" applyFill="1" applyBorder="1"/>
    <xf numFmtId="3" fontId="1" fillId="0" borderId="0" xfId="6" applyNumberFormat="1"/>
    <xf numFmtId="0" fontId="1" fillId="0" borderId="0" xfId="6" applyFill="1" applyBorder="1" applyAlignment="1">
      <alignment horizontal="left"/>
    </xf>
    <xf numFmtId="0" fontId="1" fillId="0" borderId="0" xfId="6" applyFill="1" applyBorder="1"/>
    <xf numFmtId="9" fontId="4" fillId="0" borderId="0" xfId="6" applyNumberFormat="1" applyFont="1" applyFill="1" applyBorder="1"/>
  </cellXfs>
  <cellStyles count="7">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0" builtinId="0"/>
    <cellStyle name="Normal 2" xfId="6" xr:uid="{4AD132E7-4846-4F56-8FB7-9ED69144488D}"/>
    <cellStyle name="Percent" xfId="1" xr:uid="{00000000-0005-0000-0000-00000100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microsoft.com/office/2006/relationships/vbaProject" Target="vbaProject.bin"/><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22860</xdr:colOff>
          <xdr:row>22</xdr:row>
          <xdr:rowOff>22860</xdr:rowOff>
        </xdr:from>
        <xdr:to>
          <xdr:col>11</xdr:col>
          <xdr:colOff>1066800</xdr:colOff>
          <xdr:row>29</xdr:row>
          <xdr:rowOff>129540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200" b="1" i="0" u="none" strike="noStrike" baseline="0">
                  <a:solidFill>
                    <a:srgbClr val="000000"/>
                  </a:solidFill>
                  <a:latin typeface="Arial"/>
                  <a:cs typeface="Arial"/>
                </a:rPr>
                <a:t>Optimize</a:t>
              </a:r>
            </a:p>
          </xdr:txBody>
        </xdr:sp>
        <xdr:clientData fPrintsWithSheet="0"/>
      </xdr:twoCellAnchor>
    </mc:Choice>
    <mc:Fallback/>
  </mc:AlternateContent>
  <xdr:twoCellAnchor>
    <xdr:from>
      <xdr:col>0</xdr:col>
      <xdr:colOff>2569028</xdr:colOff>
      <xdr:row>0</xdr:row>
      <xdr:rowOff>185057</xdr:rowOff>
    </xdr:from>
    <xdr:to>
      <xdr:col>1</xdr:col>
      <xdr:colOff>674913</xdr:colOff>
      <xdr:row>0</xdr:row>
      <xdr:rowOff>772885</xdr:rowOff>
    </xdr:to>
    <xdr:sp macro="" textlink="">
      <xdr:nvSpPr>
        <xdr:cNvPr id="4" name="Speech Bubble: Rectangle 3">
          <a:extLst>
            <a:ext uri="{FF2B5EF4-FFF2-40B4-BE49-F238E27FC236}">
              <a16:creationId xmlns:a16="http://schemas.microsoft.com/office/drawing/2014/main" id="{00000000-0008-0000-0000-000004000000}"/>
            </a:ext>
          </a:extLst>
        </xdr:cNvPr>
        <xdr:cNvSpPr/>
      </xdr:nvSpPr>
      <xdr:spPr>
        <a:xfrm>
          <a:off x="610688" y="169817"/>
          <a:ext cx="605245" cy="1088"/>
        </a:xfrm>
        <a:prstGeom prst="wedgeRectCallout">
          <a:avLst>
            <a:gd name="adj1" fmla="val 22969"/>
            <a:gd name="adj2" fmla="val 7731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900"/>
            <a:t>stock prices should update automatically, no need to input them</a:t>
          </a:r>
        </a:p>
      </xdr:txBody>
    </xdr:sp>
    <xdr:clientData/>
  </xdr:twoCellAnchor>
  <xdr:twoCellAnchor>
    <xdr:from>
      <xdr:col>5</xdr:col>
      <xdr:colOff>97969</xdr:colOff>
      <xdr:row>27</xdr:row>
      <xdr:rowOff>1</xdr:rowOff>
    </xdr:from>
    <xdr:to>
      <xdr:col>7</xdr:col>
      <xdr:colOff>141513</xdr:colOff>
      <xdr:row>32</xdr:row>
      <xdr:rowOff>69273</xdr:rowOff>
    </xdr:to>
    <xdr:sp macro="" textlink="">
      <xdr:nvSpPr>
        <xdr:cNvPr id="6" name="Speech Bubble: Rectangle 5">
          <a:extLst>
            <a:ext uri="{FF2B5EF4-FFF2-40B4-BE49-F238E27FC236}">
              <a16:creationId xmlns:a16="http://schemas.microsoft.com/office/drawing/2014/main" id="{00000000-0008-0000-0000-000006000000}"/>
            </a:ext>
          </a:extLst>
        </xdr:cNvPr>
        <xdr:cNvSpPr/>
      </xdr:nvSpPr>
      <xdr:spPr>
        <a:xfrm>
          <a:off x="7579424" y="6622474"/>
          <a:ext cx="2052453" cy="983672"/>
        </a:xfrm>
        <a:prstGeom prst="wedgeRectCallout">
          <a:avLst>
            <a:gd name="adj1" fmla="val -200446"/>
            <a:gd name="adj2" fmla="val -5336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2: Objective</a:t>
          </a:r>
        </a:p>
        <a:p>
          <a:pPr algn="l"/>
          <a:r>
            <a:rPr lang="fr-CA" sz="900"/>
            <a:t>this is a factor that sets the relative importance between the portfolio growth</a:t>
          </a:r>
          <a:r>
            <a:rPr lang="fr-CA" sz="900" baseline="0"/>
            <a:t> and  risk</a:t>
          </a:r>
          <a:endParaRPr lang="fr-CA" sz="900"/>
        </a:p>
      </xdr:txBody>
    </xdr:sp>
    <xdr:clientData/>
  </xdr:twoCellAnchor>
  <xdr:twoCellAnchor>
    <xdr:from>
      <xdr:col>2</xdr:col>
      <xdr:colOff>707570</xdr:colOff>
      <xdr:row>21</xdr:row>
      <xdr:rowOff>76199</xdr:rowOff>
    </xdr:from>
    <xdr:to>
      <xdr:col>5</xdr:col>
      <xdr:colOff>217714</xdr:colOff>
      <xdr:row>26</xdr:row>
      <xdr:rowOff>119743</xdr:rowOff>
    </xdr:to>
    <xdr:sp macro="" textlink="">
      <xdr:nvSpPr>
        <xdr:cNvPr id="7" name="Speech Bubble: Rectangle 6">
          <a:extLst>
            <a:ext uri="{FF2B5EF4-FFF2-40B4-BE49-F238E27FC236}">
              <a16:creationId xmlns:a16="http://schemas.microsoft.com/office/drawing/2014/main" id="{00000000-0008-0000-0000-000007000000}"/>
            </a:ext>
          </a:extLst>
        </xdr:cNvPr>
        <xdr:cNvSpPr/>
      </xdr:nvSpPr>
      <xdr:spPr>
        <a:xfrm>
          <a:off x="1827710" y="3596639"/>
          <a:ext cx="1438004" cy="881744"/>
        </a:xfrm>
        <a:prstGeom prst="wedgeRectCallout">
          <a:avLst>
            <a:gd name="adj1" fmla="val -71910"/>
            <a:gd name="adj2" fmla="val -13503"/>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Optional:</a:t>
          </a:r>
        </a:p>
        <a:p>
          <a:pPr algn="l"/>
          <a:r>
            <a:rPr lang="fr-CA" sz="900"/>
            <a:t>I have set the price targets to  be achieved in 2 years. You can change this. It changes nothing about the cal culation per say, but it's</a:t>
          </a:r>
          <a:r>
            <a:rPr lang="fr-CA" sz="900" baseline="0"/>
            <a:t> important to establish a timeframe for a prediction</a:t>
          </a:r>
          <a:endParaRPr lang="fr-CA" sz="900"/>
        </a:p>
      </xdr:txBody>
    </xdr:sp>
    <xdr:clientData/>
  </xdr:twoCellAnchor>
  <xdr:twoCellAnchor>
    <xdr:from>
      <xdr:col>9</xdr:col>
      <xdr:colOff>1151905</xdr:colOff>
      <xdr:row>30</xdr:row>
      <xdr:rowOff>130630</xdr:rowOff>
    </xdr:from>
    <xdr:to>
      <xdr:col>11</xdr:col>
      <xdr:colOff>987631</xdr:colOff>
      <xdr:row>36</xdr:row>
      <xdr:rowOff>138546</xdr:rowOff>
    </xdr:to>
    <xdr:sp macro="" textlink="">
      <xdr:nvSpPr>
        <xdr:cNvPr id="9" name="Speech Bubble: Rectangle 8">
          <a:extLst>
            <a:ext uri="{FF2B5EF4-FFF2-40B4-BE49-F238E27FC236}">
              <a16:creationId xmlns:a16="http://schemas.microsoft.com/office/drawing/2014/main" id="{00000000-0008-0000-0000-000009000000}"/>
            </a:ext>
          </a:extLst>
        </xdr:cNvPr>
        <xdr:cNvSpPr/>
      </xdr:nvSpPr>
      <xdr:spPr>
        <a:xfrm>
          <a:off x="12207832" y="7334994"/>
          <a:ext cx="2038599" cy="1005443"/>
        </a:xfrm>
        <a:prstGeom prst="wedgeRectCallout">
          <a:avLst>
            <a:gd name="adj1" fmla="val -96590"/>
            <a:gd name="adj2" fmla="val -6006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4: Optimize</a:t>
          </a:r>
        </a:p>
        <a:p>
          <a:pPr algn="l"/>
          <a:r>
            <a:rPr lang="fr-CA" sz="900"/>
            <a:t>run the optimizer! The results will be seen in the Wi column. This will guide you on the ideal weights to achieve the objective.</a:t>
          </a:r>
        </a:p>
      </xdr:txBody>
    </xdr:sp>
    <xdr:clientData/>
  </xdr:twoCellAnchor>
  <xdr:twoCellAnchor>
    <xdr:from>
      <xdr:col>1</xdr:col>
      <xdr:colOff>391885</xdr:colOff>
      <xdr:row>32</xdr:row>
      <xdr:rowOff>21773</xdr:rowOff>
    </xdr:from>
    <xdr:to>
      <xdr:col>4</xdr:col>
      <xdr:colOff>1251855</xdr:colOff>
      <xdr:row>36</xdr:row>
      <xdr:rowOff>0</xdr:rowOff>
    </xdr:to>
    <xdr:sp macro="" textlink="">
      <xdr:nvSpPr>
        <xdr:cNvPr id="10" name="Speech Bubble: Rectangle 9">
          <a:extLst>
            <a:ext uri="{FF2B5EF4-FFF2-40B4-BE49-F238E27FC236}">
              <a16:creationId xmlns:a16="http://schemas.microsoft.com/office/drawing/2014/main" id="{00000000-0008-0000-0000-00000A000000}"/>
            </a:ext>
          </a:extLst>
        </xdr:cNvPr>
        <xdr:cNvSpPr/>
      </xdr:nvSpPr>
      <xdr:spPr>
        <a:xfrm>
          <a:off x="1001485" y="5553893"/>
          <a:ext cx="2048690" cy="648787"/>
        </a:xfrm>
        <a:prstGeom prst="wedgeRectCallout">
          <a:avLst>
            <a:gd name="adj1" fmla="val -33055"/>
            <a:gd name="adj2" fmla="val -15364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3: Solver Constraints</a:t>
          </a:r>
        </a:p>
        <a:p>
          <a:pPr algn="l"/>
          <a:r>
            <a:rPr lang="fr-CA" sz="900"/>
            <a:t>Set the maximum leverage: Example:  0.7 = 30% cash, 1 = 0%</a:t>
          </a:r>
          <a:r>
            <a:rPr lang="fr-CA" sz="900" baseline="0"/>
            <a:t> cash</a:t>
          </a:r>
        </a:p>
        <a:p>
          <a:pPr algn="l"/>
          <a:r>
            <a:rPr lang="fr-CA" sz="900" baseline="0"/>
            <a:t>Set maximum position size: Example no positions &gt; 15% of potfolio</a:t>
          </a:r>
        </a:p>
      </xdr:txBody>
    </xdr:sp>
    <xdr:clientData/>
  </xdr:twoCellAnchor>
  <xdr:twoCellAnchor>
    <xdr:from>
      <xdr:col>2</xdr:col>
      <xdr:colOff>432458</xdr:colOff>
      <xdr:row>0</xdr:row>
      <xdr:rowOff>194953</xdr:rowOff>
    </xdr:from>
    <xdr:to>
      <xdr:col>4</xdr:col>
      <xdr:colOff>209799</xdr:colOff>
      <xdr:row>0</xdr:row>
      <xdr:rowOff>880753</xdr:rowOff>
    </xdr:to>
    <xdr:sp macro="" textlink="">
      <xdr:nvSpPr>
        <xdr:cNvPr id="11" name="Speech Bubble: Rectangle 10">
          <a:extLst>
            <a:ext uri="{FF2B5EF4-FFF2-40B4-BE49-F238E27FC236}">
              <a16:creationId xmlns:a16="http://schemas.microsoft.com/office/drawing/2014/main" id="{00000000-0008-0000-0000-00000B000000}"/>
            </a:ext>
          </a:extLst>
        </xdr:cNvPr>
        <xdr:cNvSpPr/>
      </xdr:nvSpPr>
      <xdr:spPr>
        <a:xfrm>
          <a:off x="4768931" y="194953"/>
          <a:ext cx="1647704" cy="685800"/>
        </a:xfrm>
        <a:prstGeom prst="wedgeRectCallout">
          <a:avLst>
            <a:gd name="adj1" fmla="val 22969"/>
            <a:gd name="adj2" fmla="val 7731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1: Inputs</a:t>
          </a:r>
        </a:p>
        <a:p>
          <a:pPr algn="l"/>
          <a:r>
            <a:rPr lang="fr-CA" sz="900"/>
            <a:t>input your view of the upside,</a:t>
          </a:r>
          <a:r>
            <a:rPr lang="fr-CA" sz="900" baseline="0"/>
            <a:t> downside and probability</a:t>
          </a:r>
          <a:endParaRPr lang="fr-CA" sz="900"/>
        </a:p>
      </xdr:txBody>
    </xdr:sp>
    <xdr:clientData/>
  </xdr:twoCellAnchor>
  <xdr:twoCellAnchor editAs="oneCell">
    <xdr:from>
      <xdr:col>6</xdr:col>
      <xdr:colOff>70756</xdr:colOff>
      <xdr:row>37</xdr:row>
      <xdr:rowOff>61684</xdr:rowOff>
    </xdr:from>
    <xdr:to>
      <xdr:col>17</xdr:col>
      <xdr:colOff>337456</xdr:colOff>
      <xdr:row>76</xdr:row>
      <xdr:rowOff>51375</xdr:rowOff>
    </xdr:to>
    <xdr:pic>
      <xdr:nvPicPr>
        <xdr:cNvPr id="1200" name="Bubble">
          <a:extLst>
            <a:ext uri="{FF2B5EF4-FFF2-40B4-BE49-F238E27FC236}">
              <a16:creationId xmlns:a16="http://schemas.microsoft.com/office/drawing/2014/main" id="{579691C0-DBDA-E414-4247-ABAF8A655A3A}"/>
            </a:ext>
          </a:extLst>
        </xdr:cNvPr>
        <xdr:cNvPicPr>
          <a:picLocks/>
        </xdr:cNvPicPr>
      </xdr:nvPicPr>
      <xdr:blipFill>
        <a:blip xmlns:r="http://schemas.openxmlformats.org/officeDocument/2006/relationships" r:embed="rId1"/>
        <a:stretch>
          <a:fillRect/>
        </a:stretch>
      </xdr:blipFill>
      <xdr:spPr>
        <a:xfrm>
          <a:off x="8902336" y="8557984"/>
          <a:ext cx="8557260" cy="6527651"/>
        </a:xfrm>
        <a:prstGeom prst="rect">
          <a:avLst/>
        </a:prstGeom>
      </xdr:spPr>
    </xdr:pic>
    <xdr:clientData/>
  </xdr:twoCellAnchor>
  <xdr:twoCellAnchor editAs="oneCell">
    <xdr:from>
      <xdr:col>0</xdr:col>
      <xdr:colOff>54428</xdr:colOff>
      <xdr:row>37</xdr:row>
      <xdr:rowOff>21771</xdr:rowOff>
    </xdr:from>
    <xdr:to>
      <xdr:col>5</xdr:col>
      <xdr:colOff>1262743</xdr:colOff>
      <xdr:row>76</xdr:row>
      <xdr:rowOff>20509</xdr:rowOff>
    </xdr:to>
    <xdr:pic>
      <xdr:nvPicPr>
        <xdr:cNvPr id="1202" name="Frontier">
          <a:extLst>
            <a:ext uri="{FF2B5EF4-FFF2-40B4-BE49-F238E27FC236}">
              <a16:creationId xmlns:a16="http://schemas.microsoft.com/office/drawing/2014/main" id="{97A80648-295B-3AF9-EEEF-5986CF4219F7}"/>
            </a:ext>
          </a:extLst>
        </xdr:cNvPr>
        <xdr:cNvPicPr>
          <a:picLocks/>
        </xdr:cNvPicPr>
      </xdr:nvPicPr>
      <xdr:blipFill>
        <a:blip xmlns:r="http://schemas.openxmlformats.org/officeDocument/2006/relationships" r:embed="rId2"/>
        <a:stretch>
          <a:fillRect/>
        </a:stretch>
      </xdr:blipFill>
      <xdr:spPr>
        <a:xfrm>
          <a:off x="54428" y="8518071"/>
          <a:ext cx="8691155" cy="6536698"/>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9">
  <rv s="0">
    <v>https://www.bing.com/financeapi/forcetrigger?t=a23yk2&amp;q=XNAS%3aFRG&amp;form=skydnc</v>
    <v>Learn more on Bing</v>
  </rv>
  <rv s="1">
    <v>fr-FR</v>
    <v>a23yk2</v>
    <v>268435456</v>
    <v>1</v>
    <v>Avec Refinitiv</v>
    <v>0</v>
    <v>1</v>
    <v>Franchise Group (XNAS:FRG)</v>
    <v>3</v>
    <v>4</v>
    <v>Finance</v>
    <v>5</v>
    <v>XNAS</v>
    <v>40361910</v>
    <v>2010</v>
    <v>32.11</v>
    <v>29.66</v>
    <v>1.5538000000000001</v>
    <v>1308936741</v>
    <v>Nasdaq Stock Market</v>
    <v>33.08</v>
    <v>FRG</v>
    <v>44820.742699791408</v>
    <v xml:space="preserve">Franchise Group Inc. is an owner and operator of franchised businesses. The Company operates through six segments: Vitamin Shoppe, Pet Supplies Plus, Badcock, American Freight, Buddy's, and Sylvan. The Vitamin Shoppe segment is an omnichannel specialty retailer of vitamins, minerals, herbs, specialty supplements, sports nutrition, and other health and wellness products. It markets approximately 700 brands as well as its own brands, which include The Vitamin Shoppe, BodyTech, True Athlete, plnt, and others. The Pet Supplies Plus segment is a franchisor and retailer of pet supplies and services. The Badcock segment is a specialty retailer of furniture, appliances, bedding, electronics, home office equipment, accessories and seasonal items in a showroom format. It also offers multiple and flexible payment solutions and credit options. The Sylvan segment is a franchisor of supplemental education for Pre-K-12 students and families in the United States and Canada. </v>
    <v>USD</v>
    <v>9119</v>
    <v>XNAS</v>
    <v>32.799999999999997</v>
    <v>55.1</v>
    <v>Specialty Retailers</v>
    <v>0</v>
    <v>-1.9649E-2</v>
    <v>-0.65</v>
    <v>Franchise Group</v>
    <v>Franchise Group</v>
    <v>32.799999999999997</v>
    <v>5.7335000000000003</v>
    <v>32.43</v>
    <v>109 INNOVATION COURT, SUITE J, DELAWARE, OH, 43015 US</v>
    <v>Bourse</v>
    <v>Franchise Group (XNAS:FRG)</v>
    <v>193470</v>
    <v>444775</v>
  </rv>
  <rv s="2">
    <v>1</v>
  </rv>
  <rv s="0">
    <v>https://www.bing.com/financeapi/forcetrigger?t=a1nvvh&amp;q=XNYS%3aATKR&amp;form=skydnc</v>
    <v>Learn more on Bing</v>
  </rv>
  <rv s="1">
    <v>fr-FR</v>
    <v>a1nvvh</v>
    <v>268435456</v>
    <v>1</v>
    <v>Avec Refinitiv</v>
    <v>0</v>
    <v>1</v>
    <v>Atkore (XNYS:ATKR)</v>
    <v>3</v>
    <v>4</v>
    <v>Finance</v>
    <v>5</v>
    <v>XNYS</v>
    <v>41320870</v>
    <v>2010</v>
    <v>76.55</v>
    <v>76.55</v>
    <v>2.2730999999999999</v>
    <v>3204020259</v>
    <v>New York Stock Exchange</v>
    <v>80.209999999999994</v>
    <v>ATKR</v>
    <v>44820.742469050783</v>
    <v>Atkore Inc. is a manufacturer of electrical products primarily for the non-residential construction and renovation markets, as well as residential markets, and safety and infrastructure products for the construction and industrial markets. The Company operates through two segments: Electrical, and Safety &amp; Infrastructure. The Electrical segment manufactures products used in the construction of electrical power systems, including conduit, cable, and installation accessories. This segment serves contractors in partnership with the electrical wholesale channel. The Safety &amp; Infrastructure segment designs and manufactures solutions, including metal framing, mechanical pipe, perimeter security, and cable management for the protection and reliability of critical infrastructure. These solutions are marketed to contractors, original equipment manufacturers (OEMs), and end-users. It serves new non-residential construction, repair and remodel (MR&amp;R), residential, OEM, and international markets.</v>
    <v>USD</v>
    <v>4000</v>
    <v>XNYS</v>
    <v>79.13</v>
    <v>123.53</v>
    <v>Machinery, Equipment &amp; Components</v>
    <v>3</v>
    <v>-3.3288000000000005E-2</v>
    <v>-2.67</v>
    <v>Atkore</v>
    <v>Atkore</v>
    <v>78.37</v>
    <v>4.0978000000000003</v>
    <v>77.540000000000006</v>
    <v>16100 SOUTH LATHROP AVENUE, HARVEY, IL, 60426 US</v>
    <v>Bourse</v>
    <v>Atkore (XNYS:ATKR)</v>
    <v>265898</v>
    <v>360129</v>
  </rv>
  <rv s="2">
    <v>4</v>
  </rv>
  <rv s="0">
    <v>https://www.bing.com/financeapi/forcetrigger?t=a1s5jc&amp;q=XNYS%3aVTOL&amp;form=skydnc</v>
    <v>Learn more on Bing</v>
  </rv>
  <rv s="1">
    <v>fr-FR</v>
    <v>a1s5jc</v>
    <v>268435456</v>
    <v>1</v>
    <v>Avec Refinitiv</v>
    <v>0</v>
    <v>1</v>
    <v>Bristow Group (XNYS:VTOL)</v>
    <v>3</v>
    <v>4</v>
    <v>Finance</v>
    <v>5</v>
    <v>XNYS</v>
    <v>27936160</v>
    <v>1999</v>
    <v>26.035</v>
    <v>21.61</v>
    <v>1.3302</v>
    <v>731927392</v>
    <v>New York Stock Exchange</v>
    <v>27.62</v>
    <v>VTOL</v>
    <v>44820.742651654684</v>
    <v>Bristow Group Inc. is a provider of flight solutions. The Company provides aviation services to national and independent energy companies. It also provides commercial search and rescue (SAR) services in multiple countries and public sector SAR services in the United Kingdom on behalf of the Maritime &amp; Coastguard Agency (MCA). The Company also offers fixed-wing transportation and other aviation related solutions. The Company owns and operates three classes of helicopters, such as heavy helicopters, medium helicopters and light helicopters. Its heavy helicopters have twin engines and passenger capacity ranging from 16 to 19. Its medium helicopters have twin engines and passenger capacity of 12. Its light helicopters have single or twin engines and a typical passenger capacity of four to seven. Its total fleet consists of approximately 229 aircraft, of which 213 were helicopters. Its fleet also includes approximately 14 fixed wing aircraft and two unmanned aerial vehicles (UAV).</v>
    <v>USD</v>
    <v>2916</v>
    <v>XNYS</v>
    <v>27.34</v>
    <v>40.1</v>
    <v>Passenger Transportation Services</v>
    <v>6</v>
    <v>-5.1412000000000006E-2</v>
    <v>-1.42</v>
    <v>Bristow Group</v>
    <v>Bristow Group</v>
    <v>27.34</v>
    <v>345.59559999999999</v>
    <v>26.2</v>
    <v>3151 Briarpark Drive, Suite 700, HOUSTON, TX, 77042 US</v>
    <v>Bourse</v>
    <v>Bristow Group (XNYS:VTOL)</v>
    <v>102812</v>
    <v>65300</v>
  </rv>
  <rv s="2">
    <v>7</v>
  </rv>
  <rv s="0">
    <v>https://www.bing.com/financeapi/forcetrigger?t=a1wwsm&amp;q=XNAS%3aLILAK&amp;form=skydnc</v>
    <v>Learn more on Bing</v>
  </rv>
  <rv s="3">
    <v>fr-FR</v>
    <v>a1wwsm</v>
    <v>268435456</v>
    <v>1</v>
    <v>Avec Refinitiv</v>
    <v>6</v>
    <v>7</v>
    <v>Liberty Latin (XNAS:LILAK)</v>
    <v>3</v>
    <v>8</v>
    <v>Finance</v>
    <v>5</v>
    <v>XNAS</v>
    <v>221477400</v>
    <v>2017</v>
    <v>6.48</v>
    <v>6.34</v>
    <v>1.2128000000000001</v>
    <v>1464906000</v>
    <v>Nasdaq Stock Market</v>
    <v>6.62</v>
    <v>LILAK</v>
    <v>44820.74286304375</v>
    <v>Liberty Latin America Ltd. is a communications company operating in over 20 countries across Latin America and the Caribbean under the consumer brands VTR, Flow, Liberty, Mas Movil, BTC, and Cabletica. The Company is focused on offering communications and entertainment services, which includes video, broadband Internet, telephony and mobile services to its residential and business customers. Its telephony service is offered over various fixed networks, including cable and copper networks. Its business products and services include enterprise-grade connectivity, data center, hosting and managed solutions, as well as information technology solutions with customers ranging from small and medium enterprises to international companies and governmental agencies. It offers a range of voice and data services, including data-based and fixed-mobile converged services. In addition, the Company operates a subsea and terrestrial fiber optic cable network that connects over 40 markets in the region.</v>
    <v>USD</v>
    <v>11900</v>
    <v>XNAS</v>
    <v>6.69</v>
    <v>13.88</v>
    <v>Telecommunications Services</v>
    <v>9</v>
    <v>9.0629999999999999E-3</v>
    <v>0.06</v>
    <v>Liberty Latin</v>
    <v>Liberty Latin</v>
    <v>6.57</v>
    <v>6.68</v>
    <v>1550 Wewatta Street, Suite 710, DENVER, CO, 80202 US</v>
    <v>Bourse</v>
    <v>Liberty Latin (XNAS:LILAK)</v>
    <v>768612</v>
    <v>1062425</v>
  </rv>
  <rv s="2">
    <v>10</v>
  </rv>
  <rv s="0">
    <v>https://www.bing.com/financeapi/forcetrigger?t=a1r32w&amp;q=XNAS%3aWBD&amp;form=skydnc</v>
    <v>Learn more on Bing</v>
  </rv>
  <rv s="1">
    <v>fr-FR</v>
    <v>a1r32w</v>
    <v>268435456</v>
    <v>1</v>
    <v>Avec Refinitiv</v>
    <v>0</v>
    <v>1</v>
    <v>WARNER BROS. DISCOVERY, INC. (XNAS:WBD)</v>
    <v>3</v>
    <v>4</v>
    <v>Finance</v>
    <v>5</v>
    <v>XNAS</v>
    <v>2427593000</v>
    <v>2008</v>
    <v>12.63</v>
    <v>12.23</v>
    <v>1.3711</v>
    <v>30939672785</v>
    <v>Nasdaq Stock Market</v>
    <v>13.17</v>
    <v>WBD</v>
    <v>44820.742909178123</v>
    <v>Warner Bros. Discovery, Inc, anciennement Discovery, Inc, est une société mondiale de médias et de divertissement. La Société offre au public un portefeuille différencié et complet de contenus, de marques et de franchises à travers la télévision, le cinéma, le streaming et les jeux dans environ 220 pays et territoires et 50 langues. La Société divertit le public dans le monde entier grâce à ses marques et produits, notamment Discovery Channel, discovery+, CNN, CNN+, DC, Eurosport, HBO, HBO Max, HGTV, Food Network, OWN, Investigation Discovery, TLC, TNT, TBS, truTV, Travel Channel, Magnolia Network, MotorTrend, Animal Planet, Science Channel, Warner Bros. Pictures, New Line Cinema, Cartoonito, Turner Classic Movies, Boomerang, OhK TV Asia, TABI Channel, Turner Sports, Tooncast, CNN Sans, Boing TV, Cooking Channel, TNT Rooster Teeth, CINEMAX GO, Bleacher Report, Cartoon Network, Adult Swim, Turner Classic vies et autres.</v>
    <v>USD</v>
    <v>11000</v>
    <v>XNAS</v>
    <v>13.12</v>
    <v>31.55</v>
    <v>Media &amp; Publishing</v>
    <v>12</v>
    <v>-3.227E-2</v>
    <v>-0.42499999999999999</v>
    <v>WARNER BROS. DISCOVERY, INC.</v>
    <v>WARNER BROS. DISCOVERY, INC.</v>
    <v>13.12</v>
    <v>7.2262000000000004</v>
    <v>12.744999999999999</v>
    <v>230 PARK AVENUE SOUTH, NEW YORK, NY, 10003 US</v>
    <v>Bourse</v>
    <v>WARNER BROS. DISCOVERY, INC. (XNAS:WBD)</v>
    <v>13060276</v>
    <v>24387364</v>
  </rv>
  <rv s="2">
    <v>13</v>
  </rv>
  <rv s="0">
    <v>https://www.bing.com/financeapi/forcetrigger?t=a1yyec&amp;q=XNAS%3aNXST&amp;form=skydnc</v>
    <v>Learn more on Bing</v>
  </rv>
  <rv s="1">
    <v>fr-FR</v>
    <v>a1yyec</v>
    <v>268435456</v>
    <v>1</v>
    <v>Avec Refinitiv</v>
    <v>0</v>
    <v>1</v>
    <v>Nexstar Media (XNAS:NXST)</v>
    <v>3</v>
    <v>4</v>
    <v>Finance</v>
    <v>9</v>
    <v>XNAS</v>
    <v>38793920</v>
    <v>2001</v>
    <v>187.72499999999999</v>
    <v>139.68799999999999</v>
    <v>1.4665999999999999</v>
    <v>7322084721</v>
    <v>Nasdaq Stock Market</v>
    <v>192.52</v>
    <v>NXST</v>
    <v>44820.732460925785</v>
    <v>Nexstar Media Group, Inc. (Nexstar) is a diversified media company with television broadcasting, television network and digital media assets, interactive community websites and digital media services operating in the United States. Its segment includes Broadcast and Other. The Broadcast segment includes television stations and related community focused websites that Nexstar owns, operates, programs or provides sales and other services in various markets across the United States; NewsNation, a live daily national newscast and a national general entertainment cable network, digital multicast network services; and WGN-AM, a Chicago radio station. The other segment activities include corporate functions; the management of certain real estate assets, including revenues from leasing certain owned office and production facilities; and digital businesses. Its digital businesses include video and display advertising platforms that are delivered locally &amp; nationally through own Websites, others.</v>
    <v>USD</v>
    <v>11160</v>
    <v>XNAS</v>
    <v>190.76</v>
    <v>204.62</v>
    <v>Media &amp; Publishing</v>
    <v>15</v>
    <v>-1.9618E-2</v>
    <v>-3.7768999999999999</v>
    <v>Nexstar Media</v>
    <v>Nexstar Media</v>
    <v>189.56</v>
    <v>8.8963000000000001</v>
    <v>188.7431</v>
    <v>545 E John Carpenter Fwy Ste 700, IRVING, TX, 75062-3932 US</v>
    <v>Bourse</v>
    <v>Nexstar Media (XNAS:NXST)</v>
    <v>103973</v>
    <v>264343</v>
  </rv>
  <rv s="2">
    <v>16</v>
  </rv>
  <rv s="0">
    <v>https://www.bing.com/financeapi/forcetrigger?t=a1vhzr&amp;q=XNAS%3aHROW&amp;form=skydnc</v>
    <v>Learn more on Bing</v>
  </rv>
  <rv s="1">
    <v>fr-FR</v>
    <v>a1vhzr</v>
    <v>268435456</v>
    <v>1</v>
    <v>Avec Refinitiv</v>
    <v>0</v>
    <v>1</v>
    <v>HARROW HEALTH, INC. (XNAS:HROW)</v>
    <v>3</v>
    <v>4</v>
    <v>Finance</v>
    <v>5</v>
    <v>XNAS</v>
    <v>27069980</v>
    <v>2006</v>
    <v>8.9175000000000004</v>
    <v>5.4</v>
    <v>0.65620000000000001</v>
    <v>243629820</v>
    <v>Nasdaq Stock Market</v>
    <v>9.1999999999999993</v>
    <v>HROW</v>
    <v>44820.740349247659</v>
    <v>Harrow Health, Inc. est une société de soins de santé axée sur l'ophtalmologie. La Société possède et exploite ImprimisRx, une entreprise pharmaceutique axée sur l'ophtalmologie, et Visionology, une filiale de soins oculaires directe aux consommateurs axée sur les maladies oculaires chroniques. La Société détient des participations ne donnant pas le contrôle dans Eton Pharmaceuticals, Surface Ophthalmics et Melt Pharmaceuticals. La Société détient également des droits de redevance sur quatre candidats-médicaments au stade clinique, qui sont développés par Surface Ophthalmics et Melt Pharmaceuticals.</v>
    <v>USD</v>
    <v>182</v>
    <v>XNAS</v>
    <v>9.0399999999999991</v>
    <v>12.99</v>
    <v>Pharmaceuticals</v>
    <v>18</v>
    <v>-2.1739000000000001E-2</v>
    <v>-0.2</v>
    <v>HARROW HEALTH, INC.</v>
    <v>HARROW HEALTH, INC.</v>
    <v>9.0399999999999991</v>
    <v>41.807299999999998</v>
    <v>9</v>
    <v>102 WOODMONT BLVD, SUITE 610, NASHVILLE, TN, 37215 US</v>
    <v>Bourse</v>
    <v>HARROW HEALTH, INC. (XNAS:HROW)</v>
    <v>6081</v>
    <v>89929</v>
  </rv>
  <rv s="2">
    <v>19</v>
  </rv>
  <rv s="0">
    <v>https://www.bing.com/financeapi/forcetrigger?t=c1w7rw&amp;q=XNYS%3aPL&amp;form=skydnc</v>
    <v>Learn more on Bing</v>
  </rv>
  <rv s="1">
    <v>fr-FR</v>
    <v>c1w7rw</v>
    <v>268435456</v>
    <v>1</v>
    <v>Avec Refinitiv</v>
    <v>0</v>
    <v>1</v>
    <v>Planet Labs (XNYS:PL)</v>
    <v>3</v>
    <v>4</v>
    <v>Finance</v>
    <v>5</v>
    <v>XNYS</v>
    <v>269877000</v>
    <v>2020</v>
    <v>6.4550000000000001</v>
    <v>3.7008000000000001</v>
    <v>1.75</v>
    <v>1945814000</v>
    <v>New York Stock Exchange</v>
    <v>7.21</v>
    <v>PL</v>
    <v>44820.74268377266</v>
    <v>Planet Labs PBC, formerly dMY Technology Group, Inc. IV, is a provider of global, daily satellite imagery and geospatial solutions. The Company designs, builds, and operates the Earth observation fleet of imaging satellites, capturing, and compiling data from over three million images per day. The Company’s automated, cloud-native platform processes and manages data catalogue and extracts information. The Company’s platform includes imagery, insights, and machine learning that enables companies, governments, and communities around the world to make decisions about evolving world. Its platform and analytics products include Planet Application Programming Interfaces (APIs), Planet Applications, Planet Basemaps, Planet Fusion, and Planet Analytics Feeds. The Company provides mission-critical data, advanced insights, and software solutions, across agriculture, forestry, intelligence, education and finance companies and government agencies, enabling users to derive satellite imagery.</v>
    <v>USD</v>
    <v>700</v>
    <v>XNYS</v>
    <v>6.9050000000000002</v>
    <v>12.15</v>
    <v>Aerospace &amp; Defense</v>
    <v>21</v>
    <v>-0.104716</v>
    <v>-0.755</v>
    <v>Planet Labs</v>
    <v>Planet Labs</v>
    <v>6.83</v>
    <v>0</v>
    <v>6.4550000000000001</v>
    <v>645 Harrison Street, Floor 4, SAN FRANCISCO, CA, 94107 US</v>
    <v>Bourse</v>
    <v>Planet Labs (XNYS:PL)</v>
    <v>2106957</v>
    <v>2484394</v>
  </rv>
  <rv s="2">
    <v>22</v>
  </rv>
  <rv s="0">
    <v>https://www.bing.com/financeapi/forcetrigger?t=a1otrw&amp;q=XNYS%3aBRK.B&amp;form=skydnc</v>
    <v>Learn more on Bing</v>
  </rv>
  <rv s="1">
    <v>fr-FR</v>
    <v>a1otrw</v>
    <v>268435456</v>
    <v>1</v>
    <v>Avec Refinitiv</v>
    <v>0</v>
    <v>1</v>
    <v>BERKSHIRE HATHAWAY INC. (XNYS:BRK.B)</v>
    <v>3</v>
    <v>4</v>
    <v>Finance</v>
    <v>5</v>
    <v>XNYS</v>
    <v>1467340</v>
    <v>1998</v>
    <v>273.45</v>
    <v>263.68</v>
    <v>0.93659999999999999</v>
    <v>610251800000</v>
    <v>New York Stock Exchange</v>
    <v>276.7</v>
    <v>BRK.B</v>
    <v>44820.742916122654</v>
    <v>Berkshire Hathaway Inc. est une société holding qui possède des filiales exerçant diverses activités commerciales, notamment l'assurance et la réassurance, les services publics et l'énergie, le transport ferroviaire de marchandises, la fabrication et la vente au détail. Ses segments comprennent l'assurance, comme GEICO, Berkshire Hathaway Primary Group et Berkshire Hathaway Reinsurance Group ; Burlington Northern Santa Fe, LLC, qui est engagée dans l'exploitation du système ferroviaire ; Berkshire Hathaway Energy, qui comprend les services publics d'électricité et de gaz réglementés ; Fabrication, qui comprend les fabricants de divers produits, y compris les produits industriels, de consommation et de construction ; McLane Company, qui s'occupe de la distribution en gros de produits d'épicerie et d'articles non alimentaires ; Service et vente au détail, qui comprend les fournisseurs de divers services, y compris les programmes de propriété partagée d'avions, la formation des pilotes d'aviation, la distribution de composants électroniques et diverses entreprises de vente au détail, y compris les concessionnaires automobiles et la location de meubles.</v>
    <v>USD</v>
    <v>372000</v>
    <v>XNYS</v>
    <v>276.375</v>
    <v>362.1</v>
    <v>Consumer Goods Conglomerates</v>
    <v>24</v>
    <v>-1.1311999999999999E-2</v>
    <v>-3.13</v>
    <v>BERKSHIRE HATHAWAY INC.</v>
    <v>BERKSHIRE HATHAWAY INC.</v>
    <v>274.76</v>
    <v>6.9523000000000001</v>
    <v>273.57</v>
    <v>3555 Farnam St, OMAHA, NE, 68131 US</v>
    <v>Bourse</v>
    <v>BERKSHIRE HATHAWAY INC. (XNYS:BRK.B)</v>
    <v>3293519</v>
    <v>3631593</v>
  </rv>
  <rv s="2">
    <v>25</v>
  </rv>
  <rv s="0">
    <v>https://www.bing.com/financeapi/forcetrigger?t=a21spr&amp;q=XNAS%3aRDI&amp;form=skydnc</v>
    <v>Learn more on Bing</v>
  </rv>
  <rv s="1">
    <v>fr-FR</v>
    <v>a21spr</v>
    <v>268435456</v>
    <v>1</v>
    <v>Avec Refinitiv</v>
    <v>0</v>
    <v>1</v>
    <v>Reading Intl (XNAS:RDI)</v>
    <v>3</v>
    <v>4</v>
    <v>Finance</v>
    <v>9</v>
    <v>XNAS</v>
    <v>23724410</v>
    <v>1999</v>
    <v>3.84</v>
    <v>3.25</v>
    <v>1.5266</v>
    <v>115695500</v>
    <v>Nasdaq Stock Market</v>
    <v>3.96</v>
    <v>RDI</v>
    <v>44820.721041318749</v>
    <v>Reading International, Inc. is a diversified company that is focused on the development, ownership and operation of entertainment and real property assets. The Company operates through two segments: Theatrical Motion Picture Exhibition (Cinema Exhibition) and Real Estate. The Cinema Exhibition segment is primarily engaged in cinema experiences for its guests through hospitality-styled comfort and service, state-of-the-art cinematic presentation, designed venues, curated film and event programming, and crafted food and beverage options. The Real Estate segment is engaged in the real estate business through the development and its ownership and rental or licensing to third parties of retail, commercial and live theatre assets. The Company’s commercial brands include Reading Cinemas, Consolidated Theatres, Angelika Film Center, State Cinema, Angelika Anywhere, 44 Union Square, Newmarket Village, Cannon Park, The Belmont Common, Courtenay Central and Liberty Theatres.</v>
    <v>USD</v>
    <v>97</v>
    <v>XNAS</v>
    <v>3.95</v>
    <v>5.41</v>
    <v>Hotels &amp; Entertainment Services</v>
    <v>27</v>
    <v>-3.0303E-2</v>
    <v>-0.12</v>
    <v>Reading Intl</v>
    <v>Reading Intl</v>
    <v>3.95</v>
    <v>2.4666000000000001</v>
    <v>3.84</v>
    <v>5995 Sepulveda Blvd Ste 300, CULVER CITY, CA, 90230-6415 US</v>
    <v>Bourse</v>
    <v>Reading Intl (XNAS:RDI)</v>
    <v>9221</v>
    <v>23963</v>
  </rv>
  <rv s="2">
    <v>28</v>
  </rv>
  <rv s="0">
    <v>https://www.bing.com/financeapi/forcetrigger?t=ab1xoc&amp;q=XTSE%3aXIC&amp;form=skydnc</v>
    <v>Learn more on Bing</v>
  </rv>
  <rv s="4">
    <v>fr-FR</v>
    <v>ab1xoc</v>
    <v>268435456</v>
    <v>1</v>
    <v>Avec Refinitiv</v>
    <v>10</v>
    <v>11</v>
    <v>iShrs Core S&amp;P/TSX CC Idx ETF (XTSE:XIC)</v>
    <v>12</v>
    <v>13</v>
    <v>Finance</v>
    <v>14</v>
    <v>XTSE</v>
    <v>30.86</v>
    <v>28.93</v>
    <v>0.997</v>
    <v>9055323705.75</v>
    <v>Toronto Stock Exchange</v>
    <v>31.3</v>
    <v>XIC</v>
    <v>44820.731562499997</v>
    <v>CAD</v>
    <v>31.08</v>
    <v>35.414999999999999</v>
    <v>30</v>
    <v>-1.2460000000000001E-2</v>
    <v>-0.39</v>
    <v>iShrs Core S&amp;P/TSX CC Idx ETF</v>
    <v>31.03</v>
    <v>30.91</v>
    <v>5.9999999999999995E-4</v>
    <v>Fonds coté en bourse</v>
    <v>iShrs Core S&amp;P/TSX CC Idx ETF (XTSE:XIC)</v>
    <v>195640</v>
  </rv>
  <rv s="2">
    <v>31</v>
  </rv>
  <rv s="0">
    <v>https://www.bing.com/financeapi/forcetrigger?t=aaxw8m&amp;q=XTSE%3aECN&amp;form=skydnc</v>
    <v>Learn more on Bing</v>
  </rv>
  <rv s="1">
    <v>fr-FR</v>
    <v>aaxw8m</v>
    <v>268435456</v>
    <v>1</v>
    <v>Avec Refinitiv</v>
    <v>0</v>
    <v>1</v>
    <v>ECN Capital Corp. (XTSE:ECN)</v>
    <v>3</v>
    <v>15</v>
    <v>Finance</v>
    <v>14</v>
    <v>XTSE</v>
    <v>244811900</v>
    <v>2016</v>
    <v>5.0599999999999996</v>
    <v>3.9771000000000001</v>
    <v>1.4438</v>
    <v>1281672000</v>
    <v>Toronto Stock Exchange</v>
    <v>5.21</v>
    <v>ECN</v>
    <v>44820.732129629629</v>
    <v>ECN Capital Corp est une société financière basée au Canada. La Société se concentre sur la fourniture de solutions d'actifs pour le secteur financier. Elle crée, offre des services, structure et gère des produits financiers et fournit des services de conseil aux institutions financières. La Société exerce ses activités dans trois secteurs d'activité, tels que Service Finance, Triad Financial Services et The Kessler Group. Son service de financement, qui fournit des prêts pour l'amélioration de l'habitat. Triad Financial Services est destiné aux prêts aux maisons préfabriquées. Le groupe Kessler, qui propose des portefeuilles de cartes de crédit à la consommation. La Société offre des portefeuilles de prêts à la consommation et de cartes de crédit non garantis et garantis.</v>
    <v>CAD</v>
    <v>462</v>
    <v>XTSE</v>
    <v>5.1749999999999998</v>
    <v>7.2850000000000001</v>
    <v>Banking Services</v>
    <v>33</v>
    <v>-2.3033000000000001E-2</v>
    <v>-0.12</v>
    <v>ECN Capital Corp.</v>
    <v>ECN Capital Corp.</v>
    <v>5.12</v>
    <v>224.37</v>
    <v>5.09</v>
    <v>Royal Bank Plaza, 200 Bay Street, North Tower, Suite 1625, TORONTO, ON, M5J 2J1 CA</v>
    <v>Bourse</v>
    <v>ECN Capital Corp. (XTSE:ECN)</v>
    <v>112507</v>
    <v>645480</v>
  </rv>
  <rv s="2">
    <v>34</v>
  </rv>
  <rv s="5">
    <v>12</v>
    <v>Prix</v>
    <v>0</v>
  </rv>
  <rv s="6">
    <v>12</v>
    <v>1</v>
  </rv>
  <rv s="5">
    <v>12</v>
    <v>Code mnémonique</v>
    <v>0</v>
  </rv>
</rvData>
</file>

<file path=xl/richData/rdrichvaluestructure.xml><?xml version="1.0" encoding="utf-8"?>
<rvStructures xmlns="http://schemas.microsoft.com/office/spreadsheetml/2017/richdata" count="7">
  <s t="_hyperlink">
    <k n="Address" t="s"/>
    <k n="Text" t="s"/>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E"/>
    <k n="Prix"/>
    <k n="Sièges sociaux" t="s"/>
    <k n="Type d'instrument" t="s"/>
    <k n="UniqueName" t="s"/>
    <k n="Volume"/>
    <k n="Volume moyen"/>
  </s>
  <s t="_linkedentity">
    <k n="%cvi" t="r"/>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rix"/>
    <k n="Sièges sociaux" t="s"/>
    <k n="Type d'instrument" t="s"/>
    <k n="UniqueName" t="s"/>
    <k n="Volume"/>
    <k n="Volume moyen"/>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Bas"/>
    <k n="Bas depuis 52 semaines"/>
    <k n="Bêta"/>
    <k n="Capitalisation boursière"/>
    <k n="Change" t="s"/>
    <k n="Clôture précédente"/>
    <k n="Code mnémonique" t="s"/>
    <k n="Dernière heure d'échange"/>
    <k n="Devise" t="s"/>
    <k n="Haut"/>
    <k n="Haut depuis 52 semaines"/>
    <k n="LearnMoreOnLink" t="r"/>
    <k n="Modification (%)"/>
    <k n="Modifier"/>
    <k n="Nom" t="s"/>
    <k n="Ouvrir"/>
    <k n="Prix"/>
    <k n="Taux de dépenses"/>
    <k n="Type d'instrument" t="s"/>
    <k n="UniqueName" t="s"/>
    <k n="Volume"/>
  </s>
  <s t="_error">
    <k n="errorType" t="i"/>
    <k n="field" t="s"/>
    <k n="subType" t="i"/>
  </s>
  <s t="_error">
    <k n="errorType" t="i"/>
    <k n="propagated" t="b"/>
  </s>
</rvStructures>
</file>

<file path=xl/richData/rdsupportingpropertybag.xml><?xml version="1.0" encoding="utf-8"?>
<supportingPropertyBags xmlns="http://schemas.microsoft.com/office/spreadsheetml/2017/richdata2">
  <spbArrays count="3">
    <a count="43">
      <v t="s">%EntityServiceId</v>
      <v t="s">_Format</v>
      <v t="s">%IsRefreshable</v>
      <v t="s">_CanonicalPropertyNames</v>
      <v t="s">%EntityCulture</v>
      <v t="s">%EntityId</v>
      <v t="s">_Icon</v>
      <v t="s">_Display</v>
      <v t="s">Nom</v>
      <v t="s">_SubLabel</v>
      <v t="s">Prix</v>
      <v t="s">Change</v>
      <v t="s">Nom officiel</v>
      <v t="s">Dernière heure d'échange</v>
      <v t="s">Code mnémonique</v>
      <v t="s">Abréviation de change</v>
      <v t="s">Modifier</v>
      <v t="s">Modification (%)</v>
      <v t="s">Devise</v>
      <v t="s">Clôture précédente</v>
      <v t="s">Ouvrir</v>
      <v t="s">Haut</v>
      <v t="s">Bas</v>
      <v t="s">Haut depuis 52 semaines</v>
      <v t="s">Bas depuis 52 semaines</v>
      <v t="s">Volume</v>
      <v t="s">Volume moyen</v>
      <v t="s">Capitalisation boursière</v>
      <v t="s">Bêta</v>
      <v t="s">P/E</v>
      <v t="s">Actions en circulation</v>
      <v t="s">Description</v>
      <v t="s">Employés</v>
      <v t="s">Sièges sociaux</v>
      <v t="s">Industrie</v>
      <v t="s">Type d'instrument</v>
      <v t="s">Année de constitution</v>
      <v t="s">_Flags</v>
      <v t="s">UniqueName</v>
      <v t="s">_DisplayString</v>
      <v t="s">LearnMoreOnLink</v>
      <v t="s">ExchangeID</v>
      <v t="s">%ProviderInfo</v>
    </a>
    <a count="42">
      <v t="s">%EntityServiceId</v>
      <v t="s">_Format</v>
      <v t="s">%IsRefreshable</v>
      <v t="s">_CanonicalPropertyNames</v>
      <v t="s">%EntityCulture</v>
      <v t="s">%EntityId</v>
      <v t="s">_Icon</v>
      <v t="s">_Display</v>
      <v t="s">Nom</v>
      <v t="s">_SubLabel</v>
      <v t="s">Prix</v>
      <v t="s">Change</v>
      <v t="s">Nom officiel</v>
      <v t="s">Dernière heure d'échange</v>
      <v t="s">Code mnémonique</v>
      <v t="s">Abréviation de change</v>
      <v t="s">Modifier</v>
      <v t="s">Modification (%)</v>
      <v t="s">Devise</v>
      <v t="s">Clôture précédente</v>
      <v t="s">Ouvrir</v>
      <v t="s">Haut</v>
      <v t="s">Bas</v>
      <v t="s">Haut depuis 52 semaines</v>
      <v t="s">Bas depuis 52 semaines</v>
      <v t="s">Volume</v>
      <v t="s">Volume moyen</v>
      <v t="s">Capitalisation boursière</v>
      <v t="s">Bêta</v>
      <v t="s">Actions en circulation</v>
      <v t="s">Description</v>
      <v t="s">Employés</v>
      <v t="s">Sièges sociaux</v>
      <v t="s">Industrie</v>
      <v t="s">Type d'instrument</v>
      <v t="s">Année de constitution</v>
      <v t="s">_Flags</v>
      <v t="s">UniqueName</v>
      <v t="s">_DisplayString</v>
      <v t="s">LearnMoreOnLink</v>
      <v t="s">ExchangeID</v>
      <v t="s">%ProviderInfo</v>
    </a>
    <a count="34">
      <v t="s">%EntityServiceId</v>
      <v t="s">_Format</v>
      <v t="s">%IsRefreshable</v>
      <v t="s">_CanonicalPropertyNames</v>
      <v t="s">%EntityCulture</v>
      <v t="s">%EntityId</v>
      <v t="s">_Icon</v>
      <v t="s">_Display</v>
      <v t="s">Nom</v>
      <v t="s">_SubLabel</v>
      <v t="s">Prix</v>
      <v t="s">Change</v>
      <v t="s">Dernière heure d'échange</v>
      <v t="s">Code mnémonique</v>
      <v t="s">Abréviation de change</v>
      <v t="s">Modifier</v>
      <v t="s">Taux de dépenses</v>
      <v t="s">Modification (%)</v>
      <v t="s">Devise</v>
      <v t="s">Clôture précédente</v>
      <v t="s">Ouvrir</v>
      <v t="s">Haut</v>
      <v t="s">Bas</v>
      <v t="s">Haut depuis 52 semaines</v>
      <v t="s">Bas depuis 52 semaines</v>
      <v t="s">Volume</v>
      <v t="s">Capitalisation boursière</v>
      <v t="s">Bêta</v>
      <v t="s">Type d'instrument</v>
      <v t="s">_Flags</v>
      <v t="s">UniqueName</v>
      <v t="s">_DisplayString</v>
      <v t="s">LearnMoreOnLink</v>
      <v t="s">%ProviderInfo</v>
    </a>
  </spbArrays>
  <spbData count="16">
    <spb s="0">
      <v>Low</v>
      <v>Name</v>
      <v>P/E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spb>
    <spb s="1">
      <v>0</v>
      <v>Name</v>
      <v>LearnMoreOnLink</v>
    </spb>
    <spb s="2">
      <v>0</v>
      <v>0</v>
      <v>0</v>
    </spb>
    <spb s="3">
      <v>2</v>
      <v>2</v>
      <v>2</v>
      <v>2</v>
    </spb>
    <spb s="4">
      <v>1</v>
      <v>2</v>
      <v>3</v>
      <v>3</v>
      <v>1</v>
      <v>1</v>
      <v>1</v>
      <v>4</v>
      <v>4</v>
      <v>1</v>
      <v>4</v>
      <v>5</v>
      <v>6</v>
      <v>1</v>
      <v>7</v>
      <v>4</v>
      <v>1</v>
      <v>1</v>
      <v>8</v>
      <v>9</v>
    </spb>
    <spb s="5">
      <v>En temps réel  Nasdaq Dernière vente</v>
      <v xml:space="preserve">depuis la clôture précédente </v>
      <v>Source: Nasdaq Dernière vente</v>
      <v xml:space="preserve">depuis la clôture précédente </v>
      <v>GMT</v>
    </spb>
    <spb s="6">
      <v>Low</v>
      <v>Name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spb>
    <spb s="1">
      <v>1</v>
      <v>Name</v>
      <v>LearnMoreOnLink</v>
    </spb>
    <spb s="7">
      <v>1</v>
      <v>2</v>
      <v>3</v>
      <v>1</v>
      <v>1</v>
      <v>1</v>
      <v>4</v>
      <v>4</v>
      <v>1</v>
      <v>4</v>
      <v>5</v>
      <v>6</v>
      <v>1</v>
      <v>7</v>
      <v>4</v>
      <v>1</v>
      <v>1</v>
      <v>8</v>
      <v>9</v>
    </spb>
    <spb s="5">
      <v>Différé de 15 minutes</v>
      <v xml:space="preserve">depuis la clôture précédente </v>
      <v>Source: Nasdaq</v>
      <v xml:space="preserve">depuis la clôture précédente </v>
      <v>GMT</v>
    </spb>
    <spb s="8">
      <v>Low</v>
      <v>Name</v>
      <v>Beta</v>
      <v>High</v>
      <v>Price</v>
      <v>Exchange</v>
      <v>Currency</v>
      <v>Open</v>
      <v>Volume</v>
      <v>Change</v>
      <v>UniqueName</v>
      <v>%ProviderInfo</v>
      <v>Ticker symbol</v>
      <v>LearnMoreOnLink</v>
      <v>Change (%)</v>
      <v>Expense ratio</v>
      <v>Instrument type</v>
      <v>Previous close</v>
      <v>Exchange abbreviation</v>
      <v>52 week low</v>
      <v>52 week high</v>
      <v>Market cap</v>
      <v>Last trade time</v>
    </spb>
    <spb s="1">
      <v>2</v>
      <v>Name</v>
      <v>LearnMoreOnLink</v>
    </spb>
    <spb s="9">
      <v>2</v>
      <v>2</v>
      <v>2</v>
    </spb>
    <spb s="10">
      <v>10</v>
      <v>2</v>
      <v>3</v>
      <v>10</v>
      <v>10</v>
      <v>10</v>
      <v>4</v>
      <v>10</v>
      <v>5</v>
      <v>5</v>
      <v>6</v>
      <v>10</v>
      <v>10</v>
      <v>10</v>
      <v>11</v>
      <v>9</v>
    </spb>
    <spb s="11">
      <v>Différé de 20 minutes</v>
      <v xml:space="preserve">depuis la clôture précédente </v>
      <v xml:space="preserve">depuis la clôture précédente </v>
      <v>GMT</v>
    </spb>
    <spb s="4">
      <v>10</v>
      <v>2</v>
      <v>3</v>
      <v>3</v>
      <v>10</v>
      <v>10</v>
      <v>10</v>
      <v>4</v>
      <v>4</v>
      <v>10</v>
      <v>4</v>
      <v>5</v>
      <v>6</v>
      <v>10</v>
      <v>7</v>
      <v>4</v>
      <v>10</v>
      <v>10</v>
      <v>11</v>
      <v>9</v>
    </spb>
  </spbData>
</supportingPropertyBags>
</file>

<file path=xl/richData/rdsupportingpropertybagstructure.xml><?xml version="1.0" encoding="utf-8"?>
<spbStructures xmlns="http://schemas.microsoft.com/office/spreadsheetml/2017/richdata2" count="12">
  <s>
    <k n="Bas" t="s"/>
    <k n="Nom" t="s"/>
    <k n="P/E"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s>
  <s>
    <k n="^Order" t="spba"/>
    <k n="TitleProperty" t="s"/>
    <k n="SubTitleProperty" t="s"/>
  </s>
  <s>
    <k n="ShowInCardView" t="b"/>
    <k n="ShowInDotNotation" t="b"/>
    <k n="ShowInAutoComplete" t="b"/>
  </s>
  <s>
    <k n="ExchangeID" t="spb"/>
    <k n="UniqueName" t="spb"/>
    <k n="`%ProviderInfo" t="spb"/>
    <k n="LearnMoreOnLink" t="spb"/>
  </s>
  <s>
    <k n="Bas" t="i"/>
    <k n="Nom" t="i"/>
    <k n="P/E"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s>
  <s>
    <k n="Prix" t="s"/>
    <k n="Modifier" t="s"/>
    <k n="ExchangeID" t="s"/>
    <k n="Modification (%)" t="s"/>
    <k n="Dernière heure d'échange" t="s"/>
  </s>
  <s>
    <k n="Bas" t="s"/>
    <k n="Nom"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s>
  <s>
    <k n="Bas" t="i"/>
    <k n="Nom"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s>
  <s>
    <k n="Bas" t="s"/>
    <k n="Nom" t="s"/>
    <k n="Bêta" t="s"/>
    <k n="Haut" t="s"/>
    <k n="Prix" t="s"/>
    <k n="Change" t="s"/>
    <k n="Devise" t="s"/>
    <k n="Ouvrir" t="s"/>
    <k n="Volume" t="s"/>
    <k n="Modifier" t="s"/>
    <k n="UniqueName" t="s"/>
    <k n="%ProviderInfo" t="s"/>
    <k n="Code mnémonique" t="s"/>
    <k n="LearnMoreOnLink" t="s"/>
    <k n="Modification (%)" t="s"/>
    <k n="Taux de dépenses" t="s"/>
    <k n="Type d'instrument" t="s"/>
    <k n="Clôture précédente" t="s"/>
    <k n="Abréviation de change" t="s"/>
    <k n="Bas depuis 52 semaines" t="s"/>
    <k n="Haut depuis 52 semaines" t="s"/>
    <k n="Capitalisation boursière" t="s"/>
    <k n="Dernière heure d'échange" t="s"/>
  </s>
  <s>
    <k n="UniqueName" t="spb"/>
    <k n="`%ProviderInfo" t="spb"/>
    <k n="LearnMoreOnLink" t="spb"/>
  </s>
  <s>
    <k n="Bas" t="i"/>
    <k n="Nom" t="i"/>
    <k n="Bêta" t="i"/>
    <k n="Haut" t="i"/>
    <k n="Prix" t="i"/>
    <k n="Ouvrir" t="i"/>
    <k n="Volume" t="i"/>
    <k n="Modifier" t="i"/>
    <k n="Modification (%)" t="i"/>
    <k n="Taux de dépenses" t="i"/>
    <k n="`%EntityServiceId" t="i"/>
    <k n="Clôture précédente" t="i"/>
    <k n="Bas depuis 52 semaines" t="i"/>
    <k n="Haut depuis 52 semaines" t="i"/>
    <k n="Capitalisation boursière" t="i"/>
    <k n="Dernière heure d'échange" t="i"/>
  </s>
  <s>
    <k n="Prix" t="s"/>
    <k n="Modifier" t="s"/>
    <k n="Modification (%)" t="s"/>
    <k n="Dernière heure d'échang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0" formatCode="General"/>
    </x:dxf>
    <x:dxf>
      <x:numFmt numFmtId="4" formatCode="#,##0.00"/>
    </x:dxf>
    <x:dxf>
      <x:numFmt numFmtId="3" formatCode="#,##0"/>
    </x:dxf>
    <x:dxf>
      <x:numFmt numFmtId="14" formatCode="0.00%"/>
    </x:dxf>
    <x:dxf>
      <x:numFmt numFmtId="2" formatCode="0.00"/>
    </x:dxf>
    <x:dxf>
      <x:numFmt numFmtId="27" formatCode="yyyy/mm/dd\ h:mm"/>
    </x:dxf>
    <x:dxf>
      <x:numFmt numFmtId="1" formatCode="0"/>
    </x:dxf>
  </dxfs>
  <richProperties>
    <rPr n="NumberFormat" t="s"/>
    <rPr n="IsTitleField" t="b"/>
  </richProperties>
  <richStyles>
    <rSty dxfid="0">
      <rpv i="0">_([$$-en-US]* #,##0.00_);_([$$-en-US]* (#,##0.00);_([$$-en-US]* "-"??_);_(@_)</rpv>
    </rSty>
    <rSty>
      <rpv i="1">1</rpv>
    </rSty>
    <rSty dxfid="1">
      <rpv i="0">#,##0.00</rpv>
    </rSty>
    <rSty dxfid="2">
      <rpv i="0">#,##0</rpv>
    </rSty>
    <rSty dxfid="3"/>
    <rSty dxfid="4">
      <rpv i="0">0.00</rpv>
    </rSty>
    <rSty dxfid="6">
      <rpv i="0">0</rpv>
    </rSty>
    <rSty dxfid="0">
      <rpv i="0">_([$$-en-US]* #,##0_);_([$$-en-US]* (#,##0);_([$$-en-US]* "-"_);_(@_)</rpv>
    </rSty>
    <rSty dxfid="5"/>
    <rSty dxfid="0">
      <rpv i="0">_-[$$-en-CA]* #,##0.00_-;-[$$-en-CA]* #,##0.00_-;_-[$$-en-CA]* "-"??_-;_-@_-</rpv>
    </rSty>
    <rSty dxfid="0">
      <rpv i="0">_-[$$-en-CA]* #,##0_-;-[$$-en-CA]* #,##0_-;_-[$$-en-CA]* "-"_-;_-@_-</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37DDD-C786-4F02-A729-C31E6D261D5D}">
  <sheetPr codeName="Sheet3"/>
  <dimension ref="A1:V31"/>
  <sheetViews>
    <sheetView tabSelected="1" topLeftCell="A37" zoomScale="60" zoomScaleNormal="60" workbookViewId="0">
      <selection activeCell="V10" sqref="V10"/>
    </sheetView>
  </sheetViews>
  <sheetFormatPr defaultRowHeight="13.2" x14ac:dyDescent="0.25"/>
  <cols>
    <col min="1" max="1" width="45.3984375" style="3" bestFit="1" customWidth="1"/>
    <col min="2" max="2" width="11.5" style="3" bestFit="1" customWidth="1"/>
    <col min="3" max="3" width="11.09765625" style="3" bestFit="1" customWidth="1"/>
    <col min="4" max="4" width="13.5" style="3" bestFit="1" customWidth="1"/>
    <col min="5" max="5" width="16.69921875" style="3" bestFit="1" customWidth="1"/>
    <col min="6" max="6" width="17.69921875" style="3" bestFit="1" customWidth="1"/>
    <col min="7" max="7" width="8.796875" style="3"/>
    <col min="8" max="8" width="9.09765625" style="3" customWidth="1"/>
    <col min="9" max="9" width="11.5" style="3" customWidth="1"/>
    <col min="10" max="10" width="16.5" style="3" bestFit="1" customWidth="1"/>
    <col min="11" max="11" width="12.3984375" style="3" customWidth="1"/>
    <col min="12" max="12" width="14.69921875" style="3" customWidth="1"/>
    <col min="13" max="13" width="6.5" style="3" hidden="1" customWidth="1"/>
    <col min="14" max="14" width="9.3984375" style="3" bestFit="1" customWidth="1"/>
    <col min="15" max="16384" width="8.796875" style="3"/>
  </cols>
  <sheetData>
    <row r="1" spans="1:22" s="29" customFormat="1" ht="126.6" customHeight="1" x14ac:dyDescent="0.3">
      <c r="B1" s="29" t="s">
        <v>28</v>
      </c>
      <c r="C1" s="31" t="s">
        <v>37</v>
      </c>
      <c r="D1" s="31" t="s">
        <v>38</v>
      </c>
      <c r="E1" s="31" t="s">
        <v>27</v>
      </c>
      <c r="F1" s="31" t="s">
        <v>26</v>
      </c>
      <c r="G1" s="31" t="s">
        <v>25</v>
      </c>
      <c r="H1" s="31" t="s">
        <v>24</v>
      </c>
      <c r="I1" s="30" t="s">
        <v>23</v>
      </c>
      <c r="J1" s="31" t="s">
        <v>22</v>
      </c>
      <c r="K1" s="30" t="s">
        <v>21</v>
      </c>
      <c r="L1" s="30" t="s">
        <v>20</v>
      </c>
      <c r="T1" s="37"/>
      <c r="U1" s="37"/>
      <c r="V1" s="37"/>
    </row>
    <row r="2" spans="1:22" ht="15.6" x14ac:dyDescent="0.3">
      <c r="A2" s="28" t="e" vm="1">
        <v>#VALUE!</v>
      </c>
      <c r="B2" s="25" cm="1">
        <f t="array" ref="B2">_FV(A2,"Prix")</f>
        <v>32.43</v>
      </c>
      <c r="C2" s="16">
        <v>150</v>
      </c>
      <c r="D2" s="16">
        <v>30</v>
      </c>
      <c r="E2" s="23">
        <v>0.65</v>
      </c>
      <c r="F2" s="15">
        <f t="shared" ref="F2:F21" si="0">1-E2</f>
        <v>0.35</v>
      </c>
      <c r="G2" s="15">
        <f t="shared" ref="G2:G21" si="1">(C2/B2)-1</f>
        <v>3.6253469010175765</v>
      </c>
      <c r="H2" s="15">
        <f t="shared" ref="H2:H21" si="2">1-(D2/B2)</f>
        <v>7.4930619796484743E-2</v>
      </c>
      <c r="I2" s="22">
        <v>0.14999999961213323</v>
      </c>
      <c r="J2" s="21">
        <f t="shared" ref="J2:J21" si="3">(E2/H2-F2/G2)</f>
        <v>8.5781488726968007</v>
      </c>
      <c r="K2" s="20">
        <f t="shared" ref="K2:K21" si="4">((1+J2*G2)^E2*(1-J2*H2)^F2)</f>
        <v>6.6489165804413668</v>
      </c>
      <c r="L2" s="20">
        <f t="shared" ref="L2:L21" si="5">((1+G2)^E2*(1-H2)^F2)</f>
        <v>2.6333271018739732</v>
      </c>
      <c r="M2" s="3" t="str" cm="1">
        <f t="array" ref="M2">_FV(A2,"Code mnémonique",TRUE)</f>
        <v>FRG</v>
      </c>
      <c r="N2" s="36"/>
      <c r="O2" s="9"/>
      <c r="P2" s="4" t="s">
        <v>18</v>
      </c>
      <c r="T2" s="38"/>
      <c r="U2" s="39"/>
      <c r="V2" s="38"/>
    </row>
    <row r="3" spans="1:22" ht="15.6" x14ac:dyDescent="0.3">
      <c r="A3" s="27" t="e" vm="2">
        <v>#VALUE!</v>
      </c>
      <c r="B3" s="25" cm="1">
        <f t="array" ref="B3">_FV(A3,"Prix")</f>
        <v>77.540000000000006</v>
      </c>
      <c r="C3" s="16">
        <v>250</v>
      </c>
      <c r="D3" s="16">
        <v>85</v>
      </c>
      <c r="E3" s="23">
        <v>0.7</v>
      </c>
      <c r="F3" s="15">
        <f t="shared" si="0"/>
        <v>0.30000000000000004</v>
      </c>
      <c r="G3" s="15">
        <f t="shared" si="1"/>
        <v>2.2241423781274179</v>
      </c>
      <c r="H3" s="15">
        <f t="shared" si="2"/>
        <v>-9.6208408563322134E-2</v>
      </c>
      <c r="I3" s="22">
        <v>0.14993558833594162</v>
      </c>
      <c r="J3" s="21">
        <f t="shared" si="3"/>
        <v>-7.4107547649079928</v>
      </c>
      <c r="K3" s="20" t="e">
        <f t="shared" si="4"/>
        <v>#NUM!</v>
      </c>
      <c r="L3" s="20">
        <f t="shared" si="5"/>
        <v>2.3326946166839879</v>
      </c>
      <c r="M3" s="3" t="str" cm="1">
        <f t="array" ref="M3">_FV(A3,"Code mnémonique",TRUE)</f>
        <v>ATKR</v>
      </c>
      <c r="O3" s="8"/>
      <c r="P3" s="4" t="s">
        <v>17</v>
      </c>
      <c r="T3" s="38"/>
      <c r="U3" s="39"/>
      <c r="V3" s="38"/>
    </row>
    <row r="4" spans="1:22" ht="15.6" x14ac:dyDescent="0.3">
      <c r="A4" s="27" t="e" vm="3">
        <v>#VALUE!</v>
      </c>
      <c r="B4" s="25" cm="1">
        <f t="array" ref="B4">_FV(A4,"Prix")</f>
        <v>26.2</v>
      </c>
      <c r="C4" s="16">
        <v>77</v>
      </c>
      <c r="D4" s="16">
        <v>25</v>
      </c>
      <c r="E4" s="23">
        <v>0.65</v>
      </c>
      <c r="F4" s="15">
        <f t="shared" si="0"/>
        <v>0.35</v>
      </c>
      <c r="G4" s="15">
        <f t="shared" si="1"/>
        <v>1.9389312977099236</v>
      </c>
      <c r="H4" s="15">
        <f t="shared" si="2"/>
        <v>4.5801526717557217E-2</v>
      </c>
      <c r="I4" s="22">
        <v>6.7160210613693427E-2</v>
      </c>
      <c r="J4" s="21">
        <f t="shared" si="3"/>
        <v>14.011154855643055</v>
      </c>
      <c r="K4" s="20">
        <f t="shared" si="4"/>
        <v>6.1136522459219451</v>
      </c>
      <c r="L4" s="20">
        <f t="shared" si="5"/>
        <v>1.9824246220544692</v>
      </c>
      <c r="M4" s="3" t="str" cm="1">
        <f t="array" ref="M4">_FV(A4,"Code mnémonique",TRUE)</f>
        <v>VTOL</v>
      </c>
      <c r="O4" s="7"/>
      <c r="P4" s="4" t="s">
        <v>16</v>
      </c>
      <c r="T4" s="38"/>
      <c r="U4" s="39"/>
      <c r="V4" s="38"/>
    </row>
    <row r="5" spans="1:22" ht="15.6" x14ac:dyDescent="0.3">
      <c r="A5" s="27" t="e" vm="4">
        <v>#VALUE!</v>
      </c>
      <c r="B5" s="25" cm="1">
        <f t="array" ref="B5">_FV(A5,"Prix")</f>
        <v>6.68</v>
      </c>
      <c r="C5" s="16">
        <v>21</v>
      </c>
      <c r="D5" s="16">
        <v>5</v>
      </c>
      <c r="E5" s="23">
        <v>0.65</v>
      </c>
      <c r="F5" s="15">
        <f t="shared" si="0"/>
        <v>0.35</v>
      </c>
      <c r="G5" s="15">
        <f t="shared" si="1"/>
        <v>2.1437125748502996</v>
      </c>
      <c r="H5" s="15">
        <f t="shared" si="2"/>
        <v>0.25149700598802394</v>
      </c>
      <c r="I5" s="22">
        <v>5.5471214146362302E-2</v>
      </c>
      <c r="J5" s="21">
        <f t="shared" si="3"/>
        <v>2.4212556530992289</v>
      </c>
      <c r="K5" s="20">
        <f t="shared" si="4"/>
        <v>2.354541722692272</v>
      </c>
      <c r="L5" s="20">
        <f t="shared" si="5"/>
        <v>1.902416397558683</v>
      </c>
      <c r="M5" s="3" t="str" cm="1">
        <f t="array" ref="M5">_FV(A5,"Code mnémonique",TRUE)</f>
        <v>LILAK</v>
      </c>
      <c r="O5" s="6"/>
      <c r="P5" s="4" t="s">
        <v>34</v>
      </c>
      <c r="T5" s="38"/>
      <c r="U5" s="39"/>
      <c r="V5" s="38"/>
    </row>
    <row r="6" spans="1:22" ht="15.6" x14ac:dyDescent="0.3">
      <c r="A6" s="27" t="e" vm="5">
        <v>#VALUE!</v>
      </c>
      <c r="B6" s="25" cm="1">
        <f t="array" ref="B6">_FV(A6,"Prix")</f>
        <v>12.744999999999999</v>
      </c>
      <c r="C6" s="16">
        <v>50</v>
      </c>
      <c r="D6" s="16">
        <v>8</v>
      </c>
      <c r="E6" s="23">
        <v>0.6</v>
      </c>
      <c r="F6" s="15">
        <f t="shared" si="0"/>
        <v>0.4</v>
      </c>
      <c r="G6" s="15">
        <f t="shared" si="1"/>
        <v>2.9231071008238527</v>
      </c>
      <c r="H6" s="15">
        <f t="shared" si="2"/>
        <v>0.37230286386818356</v>
      </c>
      <c r="I6" s="22">
        <v>0.11233948383205865</v>
      </c>
      <c r="J6" s="21">
        <f t="shared" si="3"/>
        <v>1.4747504560529567</v>
      </c>
      <c r="K6" s="20">
        <f t="shared" si="4"/>
        <v>1.9803797642367058</v>
      </c>
      <c r="L6" s="20">
        <f t="shared" si="5"/>
        <v>1.8848559183702334</v>
      </c>
      <c r="M6" s="3" t="str" cm="1">
        <f t="array" ref="M6">_FV(A6,"Code mnémonique",TRUE)</f>
        <v>WBD</v>
      </c>
      <c r="O6" s="5"/>
      <c r="P6" s="4" t="s">
        <v>15</v>
      </c>
      <c r="T6" s="38"/>
      <c r="U6" s="39"/>
      <c r="V6" s="38"/>
    </row>
    <row r="7" spans="1:22" ht="15.6" x14ac:dyDescent="0.3">
      <c r="A7" s="27" t="e" vm="6">
        <v>#VALUE!</v>
      </c>
      <c r="B7" s="25" cm="1">
        <f t="array" ref="B7">_FV(A7,"Prix")</f>
        <v>188.7431</v>
      </c>
      <c r="C7" s="16">
        <v>500</v>
      </c>
      <c r="D7" s="16">
        <v>170</v>
      </c>
      <c r="E7" s="23">
        <v>0.7</v>
      </c>
      <c r="F7" s="15">
        <f t="shared" si="0"/>
        <v>0.30000000000000004</v>
      </c>
      <c r="G7" s="15">
        <f t="shared" si="1"/>
        <v>1.6491034639147073</v>
      </c>
      <c r="H7" s="15">
        <f t="shared" si="2"/>
        <v>9.9304822268999504E-2</v>
      </c>
      <c r="I7" s="22">
        <v>9.1560238069288577E-2</v>
      </c>
      <c r="J7" s="21">
        <f t="shared" si="3"/>
        <v>6.8670860724258338</v>
      </c>
      <c r="K7" s="20">
        <f t="shared" si="4"/>
        <v>4.114283863578442</v>
      </c>
      <c r="L7" s="20">
        <f t="shared" si="5"/>
        <v>1.9166490385892407</v>
      </c>
      <c r="M7" s="3" t="str" cm="1">
        <f t="array" ref="M7">_FV(A7,"Code mnémonique",TRUE)</f>
        <v>NXST</v>
      </c>
      <c r="T7" s="38"/>
      <c r="U7" s="39"/>
      <c r="V7" s="38"/>
    </row>
    <row r="8" spans="1:22" ht="15.6" x14ac:dyDescent="0.3">
      <c r="A8" s="27" t="e" vm="7">
        <v>#VALUE!</v>
      </c>
      <c r="B8" s="25" cm="1">
        <f t="array" ref="B8">_FV(A8,"Prix")</f>
        <v>9</v>
      </c>
      <c r="C8" s="16">
        <v>25</v>
      </c>
      <c r="D8" s="16">
        <v>6</v>
      </c>
      <c r="E8" s="23">
        <v>0.6</v>
      </c>
      <c r="F8" s="15">
        <f t="shared" si="0"/>
        <v>0.4</v>
      </c>
      <c r="G8" s="15">
        <f t="shared" si="1"/>
        <v>1.7777777777777777</v>
      </c>
      <c r="H8" s="15">
        <f t="shared" si="2"/>
        <v>0.33333333333333337</v>
      </c>
      <c r="I8" s="22">
        <v>1.4050634653770249E-2</v>
      </c>
      <c r="J8" s="21">
        <f t="shared" si="3"/>
        <v>1.5749999999999997</v>
      </c>
      <c r="K8" s="20">
        <f t="shared" si="4"/>
        <v>1.6540460702626356</v>
      </c>
      <c r="L8" s="20">
        <f t="shared" si="5"/>
        <v>1.5695747224970924</v>
      </c>
      <c r="M8" s="3" t="str" cm="1">
        <f t="array" ref="M8">_FV(A8,"Code mnémonique",TRUE)</f>
        <v>HROW</v>
      </c>
      <c r="T8" s="38"/>
      <c r="U8" s="39"/>
      <c r="V8" s="38"/>
    </row>
    <row r="9" spans="1:22" ht="15.6" x14ac:dyDescent="0.3">
      <c r="A9" s="27" t="e" vm="8">
        <v>#VALUE!</v>
      </c>
      <c r="B9" s="25" cm="1">
        <f t="array" ref="B9">_FV(A9,"Prix")</f>
        <v>6.4550000000000001</v>
      </c>
      <c r="C9" s="16">
        <v>20</v>
      </c>
      <c r="D9" s="16">
        <v>4.5</v>
      </c>
      <c r="E9" s="23">
        <v>0.7</v>
      </c>
      <c r="F9" s="15">
        <f t="shared" si="0"/>
        <v>0.30000000000000004</v>
      </c>
      <c r="G9" s="15">
        <f t="shared" si="1"/>
        <v>2.0983733539891558</v>
      </c>
      <c r="H9" s="15">
        <f t="shared" si="2"/>
        <v>0.30286599535243997</v>
      </c>
      <c r="I9" s="22">
        <v>3.6923361184150676E-2</v>
      </c>
      <c r="J9" s="21">
        <f t="shared" si="3"/>
        <v>2.1682853121025962</v>
      </c>
      <c r="K9" s="20">
        <f t="shared" si="4"/>
        <v>2.4082427780242082</v>
      </c>
      <c r="L9" s="20">
        <f t="shared" si="5"/>
        <v>1.9805622840250514</v>
      </c>
      <c r="M9" s="3" t="str" cm="1">
        <f t="array" ref="M9">_FV(A9,"Code mnémonique",TRUE)</f>
        <v>PL</v>
      </c>
      <c r="T9" s="38"/>
      <c r="U9" s="39"/>
      <c r="V9" s="38"/>
    </row>
    <row r="10" spans="1:22" ht="15.6" x14ac:dyDescent="0.3">
      <c r="A10" s="27" t="e" vm="9">
        <v>#VALUE!</v>
      </c>
      <c r="B10" s="25" cm="1">
        <f t="array" ref="B10">_FV(A10,"Prix")</f>
        <v>273.57</v>
      </c>
      <c r="C10" s="16">
        <f>362</f>
        <v>362</v>
      </c>
      <c r="D10" s="16">
        <v>250</v>
      </c>
      <c r="E10" s="23">
        <v>0.65</v>
      </c>
      <c r="F10" s="15">
        <f t="shared" si="0"/>
        <v>0.35</v>
      </c>
      <c r="G10" s="15">
        <f t="shared" si="1"/>
        <v>0.32324450780421832</v>
      </c>
      <c r="H10" s="15">
        <f t="shared" si="2"/>
        <v>8.615710787001496E-2</v>
      </c>
      <c r="I10" s="22">
        <v>1.2771869140636256E-4</v>
      </c>
      <c r="J10" s="21">
        <f t="shared" si="3"/>
        <v>6.4615855499540373</v>
      </c>
      <c r="K10" s="20">
        <f t="shared" si="4"/>
        <v>1.5656400511260395</v>
      </c>
      <c r="L10" s="20">
        <f t="shared" si="5"/>
        <v>1.1624414926677236</v>
      </c>
      <c r="M10" s="3" t="str" cm="1">
        <f t="array" ref="M10">_FV(A10,"Code mnémonique",TRUE)</f>
        <v>BRK.B</v>
      </c>
      <c r="T10" s="38"/>
      <c r="U10" s="39"/>
      <c r="V10" s="38"/>
    </row>
    <row r="11" spans="1:22" ht="15.6" x14ac:dyDescent="0.3">
      <c r="A11" s="27" t="e" vm="10">
        <v>#VALUE!</v>
      </c>
      <c r="B11" s="25" cm="1">
        <f t="array" ref="B11">_FV(A11,"Prix")</f>
        <v>3.84</v>
      </c>
      <c r="C11" s="16">
        <v>8</v>
      </c>
      <c r="D11" s="16">
        <v>3.74</v>
      </c>
      <c r="E11" s="23">
        <v>0.65</v>
      </c>
      <c r="F11" s="15">
        <f t="shared" si="0"/>
        <v>0.35</v>
      </c>
      <c r="G11" s="15">
        <f t="shared" si="1"/>
        <v>1.0833333333333335</v>
      </c>
      <c r="H11" s="15">
        <f t="shared" si="2"/>
        <v>2.604166666666663E-2</v>
      </c>
      <c r="I11" s="22">
        <v>7.2620689923782783E-5</v>
      </c>
      <c r="J11" s="21">
        <f t="shared" si="3"/>
        <v>24.636923076923114</v>
      </c>
      <c r="K11" s="20">
        <f t="shared" si="4"/>
        <v>6.0470621296528071</v>
      </c>
      <c r="L11" s="20">
        <f t="shared" si="5"/>
        <v>1.5965492788385083</v>
      </c>
      <c r="M11" s="3" t="str" cm="1">
        <f t="array" ref="M11">_FV(A11,"Code mnémonique",TRUE)</f>
        <v>RDI</v>
      </c>
      <c r="T11" s="38"/>
      <c r="U11" s="39"/>
      <c r="V11" s="38"/>
    </row>
    <row r="12" spans="1:22" ht="15.6" x14ac:dyDescent="0.3">
      <c r="A12" s="27" t="e" vm="11">
        <v>#VALUE!</v>
      </c>
      <c r="B12" s="25" cm="1">
        <f t="array" ref="B12">_FV(A12,"Prix")</f>
        <v>30.91</v>
      </c>
      <c r="C12" s="16">
        <v>36</v>
      </c>
      <c r="D12" s="16">
        <v>26</v>
      </c>
      <c r="E12" s="23">
        <v>0.65</v>
      </c>
      <c r="F12" s="15">
        <f t="shared" si="0"/>
        <v>0.35</v>
      </c>
      <c r="G12" s="15">
        <f t="shared" si="1"/>
        <v>0.16467162730507923</v>
      </c>
      <c r="H12" s="15">
        <f t="shared" si="2"/>
        <v>0.15884826916855388</v>
      </c>
      <c r="I12" s="22">
        <v>1.3056644663995322E-4</v>
      </c>
      <c r="J12" s="21">
        <f t="shared" si="3"/>
        <v>1.9665131502606839</v>
      </c>
      <c r="K12" s="20">
        <f t="shared" si="4"/>
        <v>1.0525998496369866</v>
      </c>
      <c r="L12" s="20">
        <f t="shared" si="5"/>
        <v>1.0392936941159823</v>
      </c>
      <c r="M12" s="3" t="str" cm="1">
        <f t="array" ref="M12">_FV(A12,"Code mnémonique",TRUE)</f>
        <v>XIC</v>
      </c>
      <c r="T12" s="38"/>
      <c r="U12" s="39"/>
      <c r="V12" s="38"/>
    </row>
    <row r="13" spans="1:22" ht="15.6" x14ac:dyDescent="0.3">
      <c r="A13" s="27" t="e" vm="12">
        <v>#VALUE!</v>
      </c>
      <c r="B13" s="25" cm="1">
        <f t="array" ref="B13">_FV(A13,"Prix")</f>
        <v>5.09</v>
      </c>
      <c r="C13" s="24">
        <v>12</v>
      </c>
      <c r="D13" s="8">
        <v>4</v>
      </c>
      <c r="E13" s="23">
        <v>0.7</v>
      </c>
      <c r="F13" s="15">
        <f t="shared" si="0"/>
        <v>0.30000000000000004</v>
      </c>
      <c r="G13" s="15">
        <f t="shared" si="1"/>
        <v>1.3575638506876229</v>
      </c>
      <c r="H13" s="15">
        <f t="shared" si="2"/>
        <v>0.21414538310412568</v>
      </c>
      <c r="I13" s="22">
        <v>2.222836883775484E-2</v>
      </c>
      <c r="J13" s="21">
        <f t="shared" si="3"/>
        <v>3.0478232584075737</v>
      </c>
      <c r="K13" s="20">
        <f t="shared" si="4"/>
        <v>2.2895652695551987</v>
      </c>
      <c r="L13" s="20">
        <f t="shared" si="5"/>
        <v>1.6956143654024307</v>
      </c>
      <c r="M13" s="3" t="str" cm="1">
        <f t="array" ref="M13">_FV(A13,"Code mnémonique",TRUE)</f>
        <v>ECN</v>
      </c>
      <c r="T13" s="38"/>
      <c r="U13" s="39"/>
      <c r="V13" s="38"/>
    </row>
    <row r="14" spans="1:22" ht="15.6" x14ac:dyDescent="0.3">
      <c r="A14" s="27"/>
      <c r="B14" s="25" t="e" cm="1" vm="13">
        <f t="array" ref="B14">_FV(A14,"Prix")</f>
        <v>#VALUE!</v>
      </c>
      <c r="C14" s="24"/>
      <c r="D14" s="8"/>
      <c r="E14" s="23"/>
      <c r="F14" s="15">
        <f t="shared" si="0"/>
        <v>1</v>
      </c>
      <c r="G14" s="15" t="e" vm="14">
        <f t="shared" si="1"/>
        <v>#VALUE!</v>
      </c>
      <c r="H14" s="15" t="e" vm="14">
        <f t="shared" si="2"/>
        <v>#VALUE!</v>
      </c>
      <c r="I14" s="22"/>
      <c r="J14" s="21" t="e" vm="14">
        <f t="shared" si="3"/>
        <v>#VALUE!</v>
      </c>
      <c r="K14" s="20" t="e" vm="14">
        <f t="shared" si="4"/>
        <v>#VALUE!</v>
      </c>
      <c r="L14" s="20" t="e" vm="14">
        <f t="shared" si="5"/>
        <v>#VALUE!</v>
      </c>
      <c r="M14" s="3" t="e" cm="1" vm="15">
        <f t="array" ref="M14">_FV(A14,"Code mnémonique",TRUE)</f>
        <v>#VALUE!</v>
      </c>
      <c r="T14" s="38"/>
      <c r="U14" s="38"/>
      <c r="V14" s="38"/>
    </row>
    <row r="15" spans="1:22" ht="15.6" x14ac:dyDescent="0.3">
      <c r="A15" s="27"/>
      <c r="B15" s="25" t="e" cm="1" vm="13">
        <f t="array" ref="B15">_FV(A15,"Prix")</f>
        <v>#VALUE!</v>
      </c>
      <c r="C15" s="24"/>
      <c r="D15" s="8"/>
      <c r="E15" s="23"/>
      <c r="F15" s="15">
        <f t="shared" si="0"/>
        <v>1</v>
      </c>
      <c r="G15" s="15" t="e" vm="14">
        <f t="shared" si="1"/>
        <v>#VALUE!</v>
      </c>
      <c r="H15" s="15" t="e" vm="14">
        <f t="shared" si="2"/>
        <v>#VALUE!</v>
      </c>
      <c r="I15" s="22"/>
      <c r="J15" s="21" t="e" vm="14">
        <f t="shared" si="3"/>
        <v>#VALUE!</v>
      </c>
      <c r="K15" s="20" t="e" vm="14">
        <f t="shared" si="4"/>
        <v>#VALUE!</v>
      </c>
      <c r="L15" s="20" t="e" vm="14">
        <f t="shared" si="5"/>
        <v>#VALUE!</v>
      </c>
      <c r="M15" s="3" t="e" cm="1" vm="15">
        <f t="array" ref="M15">_FV(A15,"Code mnémonique",TRUE)</f>
        <v>#VALUE!</v>
      </c>
      <c r="T15" s="38"/>
      <c r="U15" s="38"/>
      <c r="V15" s="38"/>
    </row>
    <row r="16" spans="1:22" ht="15.6" x14ac:dyDescent="0.3">
      <c r="A16" s="27"/>
      <c r="B16" s="25" t="e" cm="1" vm="13">
        <f t="array" ref="B16">_FV(A16,"Prix")</f>
        <v>#VALUE!</v>
      </c>
      <c r="C16" s="24"/>
      <c r="D16" s="8"/>
      <c r="E16" s="23"/>
      <c r="F16" s="15">
        <f t="shared" si="0"/>
        <v>1</v>
      </c>
      <c r="G16" s="15" t="e" vm="14">
        <f t="shared" si="1"/>
        <v>#VALUE!</v>
      </c>
      <c r="H16" s="15" t="e" vm="14">
        <f t="shared" si="2"/>
        <v>#VALUE!</v>
      </c>
      <c r="I16" s="22"/>
      <c r="J16" s="21" t="e" vm="14">
        <f t="shared" si="3"/>
        <v>#VALUE!</v>
      </c>
      <c r="K16" s="20" t="e" vm="14">
        <f t="shared" si="4"/>
        <v>#VALUE!</v>
      </c>
      <c r="L16" s="20" t="e" vm="14">
        <f t="shared" si="5"/>
        <v>#VALUE!</v>
      </c>
      <c r="M16" s="3" t="e" cm="1" vm="15">
        <f t="array" ref="M16">_FV(A16,"Code mnémonique",TRUE)</f>
        <v>#VALUE!</v>
      </c>
      <c r="T16" s="38"/>
      <c r="U16" s="38"/>
      <c r="V16" s="38"/>
    </row>
    <row r="17" spans="1:22" ht="15.6" x14ac:dyDescent="0.3">
      <c r="A17" s="27"/>
      <c r="B17" s="25" t="e" cm="1" vm="13">
        <f t="array" ref="B17">_FV(A17,"Prix")</f>
        <v>#VALUE!</v>
      </c>
      <c r="C17" s="24"/>
      <c r="D17" s="8"/>
      <c r="E17" s="23"/>
      <c r="F17" s="15">
        <f t="shared" si="0"/>
        <v>1</v>
      </c>
      <c r="G17" s="15" t="e" vm="14">
        <f t="shared" si="1"/>
        <v>#VALUE!</v>
      </c>
      <c r="H17" s="15" t="e" vm="14">
        <f t="shared" si="2"/>
        <v>#VALUE!</v>
      </c>
      <c r="I17" s="22"/>
      <c r="J17" s="21" t="e" vm="14">
        <f t="shared" si="3"/>
        <v>#VALUE!</v>
      </c>
      <c r="K17" s="20" t="e" vm="14">
        <f t="shared" si="4"/>
        <v>#VALUE!</v>
      </c>
      <c r="L17" s="20" t="e" vm="14">
        <f t="shared" si="5"/>
        <v>#VALUE!</v>
      </c>
      <c r="M17" s="3" t="e" cm="1" vm="15">
        <f t="array" ref="M17">_FV(A17,"Code mnémonique",TRUE)</f>
        <v>#VALUE!</v>
      </c>
      <c r="T17" s="38"/>
      <c r="U17" s="38"/>
      <c r="V17" s="38"/>
    </row>
    <row r="18" spans="1:22" ht="15.6" x14ac:dyDescent="0.3">
      <c r="A18" s="27"/>
      <c r="B18" s="25" t="e" cm="1" vm="13">
        <f t="array" ref="B18">_FV(A18,"Prix")</f>
        <v>#VALUE!</v>
      </c>
      <c r="C18" s="24"/>
      <c r="D18" s="8"/>
      <c r="E18" s="23"/>
      <c r="F18" s="15">
        <f t="shared" si="0"/>
        <v>1</v>
      </c>
      <c r="G18" s="15" t="e" vm="14">
        <f t="shared" si="1"/>
        <v>#VALUE!</v>
      </c>
      <c r="H18" s="15" t="e" vm="14">
        <f t="shared" si="2"/>
        <v>#VALUE!</v>
      </c>
      <c r="I18" s="22"/>
      <c r="J18" s="21" t="e" vm="14">
        <f t="shared" si="3"/>
        <v>#VALUE!</v>
      </c>
      <c r="K18" s="20" t="e" vm="14">
        <f t="shared" si="4"/>
        <v>#VALUE!</v>
      </c>
      <c r="L18" s="20" t="e" vm="14">
        <f t="shared" si="5"/>
        <v>#VALUE!</v>
      </c>
      <c r="M18" s="3" t="e" cm="1" vm="15">
        <f t="array" ref="M18">_FV(A18,"Code mnémonique",TRUE)</f>
        <v>#VALUE!</v>
      </c>
      <c r="T18" s="38"/>
      <c r="U18" s="38"/>
      <c r="V18" s="38"/>
    </row>
    <row r="19" spans="1:22" ht="15.6" x14ac:dyDescent="0.3">
      <c r="A19" s="27"/>
      <c r="B19" s="25" t="e" cm="1" vm="13">
        <f t="array" ref="B19">_FV(A19,"Prix")</f>
        <v>#VALUE!</v>
      </c>
      <c r="C19" s="24"/>
      <c r="D19" s="8"/>
      <c r="E19" s="23"/>
      <c r="F19" s="15">
        <f t="shared" si="0"/>
        <v>1</v>
      </c>
      <c r="G19" s="15" t="e" vm="14">
        <f t="shared" si="1"/>
        <v>#VALUE!</v>
      </c>
      <c r="H19" s="15" t="e" vm="14">
        <f t="shared" si="2"/>
        <v>#VALUE!</v>
      </c>
      <c r="I19" s="22"/>
      <c r="J19" s="21" t="e" vm="14">
        <f t="shared" si="3"/>
        <v>#VALUE!</v>
      </c>
      <c r="K19" s="20" t="e" vm="14">
        <f t="shared" si="4"/>
        <v>#VALUE!</v>
      </c>
      <c r="L19" s="20" t="e" vm="14">
        <f t="shared" si="5"/>
        <v>#VALUE!</v>
      </c>
      <c r="M19" s="3" t="e" cm="1" vm="15">
        <f t="array" ref="M19">_FV(A19,"Code mnémonique",TRUE)</f>
        <v>#VALUE!</v>
      </c>
      <c r="T19" s="38"/>
      <c r="U19" s="38"/>
      <c r="V19" s="38"/>
    </row>
    <row r="20" spans="1:22" ht="15.6" x14ac:dyDescent="0.3">
      <c r="A20" s="27"/>
      <c r="B20" s="25" t="e" cm="1" vm="13">
        <f t="array" ref="B20">_FV(A20,"Prix")</f>
        <v>#VALUE!</v>
      </c>
      <c r="C20" s="24"/>
      <c r="D20" s="8"/>
      <c r="E20" s="23"/>
      <c r="F20" s="15">
        <f t="shared" si="0"/>
        <v>1</v>
      </c>
      <c r="G20" s="15" t="e" vm="14">
        <f t="shared" si="1"/>
        <v>#VALUE!</v>
      </c>
      <c r="H20" s="15" t="e" vm="14">
        <f t="shared" si="2"/>
        <v>#VALUE!</v>
      </c>
      <c r="I20" s="22"/>
      <c r="J20" s="21" t="e" vm="14">
        <f t="shared" si="3"/>
        <v>#VALUE!</v>
      </c>
      <c r="K20" s="20" t="e" vm="14">
        <f t="shared" si="4"/>
        <v>#VALUE!</v>
      </c>
      <c r="L20" s="20" t="e" vm="14">
        <f t="shared" si="5"/>
        <v>#VALUE!</v>
      </c>
      <c r="M20" s="3" t="e" cm="1" vm="15">
        <f t="array" ref="M20">_FV(A20,"Code mnémonique",TRUE)</f>
        <v>#VALUE!</v>
      </c>
      <c r="T20" s="38"/>
      <c r="U20" s="38"/>
      <c r="V20" s="38"/>
    </row>
    <row r="21" spans="1:22" ht="15.6" x14ac:dyDescent="0.3">
      <c r="A21" s="26"/>
      <c r="B21" s="25" t="e" cm="1" vm="13">
        <f t="array" ref="B21">_FV(A21,"Prix")</f>
        <v>#VALUE!</v>
      </c>
      <c r="C21" s="24"/>
      <c r="D21" s="8"/>
      <c r="E21" s="23"/>
      <c r="F21" s="15">
        <f t="shared" si="0"/>
        <v>1</v>
      </c>
      <c r="G21" s="15" t="e" vm="14">
        <f t="shared" si="1"/>
        <v>#VALUE!</v>
      </c>
      <c r="H21" s="15" t="e" vm="14">
        <f t="shared" si="2"/>
        <v>#VALUE!</v>
      </c>
      <c r="I21" s="22"/>
      <c r="J21" s="21" t="e" vm="14">
        <f t="shared" si="3"/>
        <v>#VALUE!</v>
      </c>
      <c r="K21" s="20" t="e" vm="14">
        <f t="shared" si="4"/>
        <v>#VALUE!</v>
      </c>
      <c r="L21" s="20" t="e" vm="14">
        <f t="shared" si="5"/>
        <v>#VALUE!</v>
      </c>
      <c r="M21" s="3" t="e" cm="1" vm="15">
        <f t="array" ref="M21">_FV(A21,"Code mnémonique",TRUE)</f>
        <v>#VALUE!</v>
      </c>
      <c r="T21" s="38"/>
      <c r="U21" s="38"/>
      <c r="V21" s="38"/>
    </row>
    <row r="22" spans="1:22" x14ac:dyDescent="0.25">
      <c r="I22" s="19"/>
      <c r="J22" s="19"/>
      <c r="K22" s="18"/>
      <c r="L22" s="11"/>
    </row>
    <row r="23" spans="1:22" ht="15.6" x14ac:dyDescent="0.3">
      <c r="A23" s="32" t="s">
        <v>30</v>
      </c>
      <c r="B23" s="33">
        <f>COUNT(B2:B21)</f>
        <v>12</v>
      </c>
      <c r="L23" s="11"/>
    </row>
    <row r="24" spans="1:22" ht="15.6" x14ac:dyDescent="0.3">
      <c r="A24" s="32" t="s">
        <v>31</v>
      </c>
      <c r="B24" s="8">
        <v>2</v>
      </c>
      <c r="L24" s="11"/>
    </row>
    <row r="25" spans="1:22" ht="15.6" x14ac:dyDescent="0.3">
      <c r="A25" s="32" t="s">
        <v>35</v>
      </c>
      <c r="B25" s="34">
        <v>1.0724159997905183</v>
      </c>
      <c r="G25" s="13"/>
      <c r="L25" s="11"/>
    </row>
    <row r="26" spans="1:22" ht="15.6" x14ac:dyDescent="0.3">
      <c r="A26" s="32" t="s">
        <v>36</v>
      </c>
      <c r="B26" s="35">
        <v>9.4154024161654068E-2</v>
      </c>
      <c r="G26" s="13"/>
      <c r="L26" s="11"/>
    </row>
    <row r="27" spans="1:22" ht="15.6" x14ac:dyDescent="0.3">
      <c r="A27" s="32" t="s">
        <v>29</v>
      </c>
      <c r="B27" s="16">
        <v>8</v>
      </c>
      <c r="G27" s="13"/>
      <c r="L27" s="11"/>
    </row>
    <row r="28" spans="1:22" ht="15.6" x14ac:dyDescent="0.3">
      <c r="A28" s="32" t="s">
        <v>32</v>
      </c>
      <c r="B28" s="23">
        <v>0.7</v>
      </c>
      <c r="G28" s="13"/>
      <c r="L28" s="11"/>
    </row>
    <row r="29" spans="1:22" ht="15.6" x14ac:dyDescent="0.3">
      <c r="A29" s="32" t="s">
        <v>33</v>
      </c>
      <c r="B29" s="14">
        <v>0.15</v>
      </c>
      <c r="G29" s="13"/>
      <c r="L29" s="11"/>
    </row>
    <row r="30" spans="1:22" ht="15.6" x14ac:dyDescent="0.3">
      <c r="A30" s="32" t="s">
        <v>19</v>
      </c>
      <c r="B30" s="17">
        <v>1</v>
      </c>
      <c r="H30" s="12"/>
      <c r="L30" s="11"/>
    </row>
    <row r="31" spans="1:22" x14ac:dyDescent="0.25">
      <c r="J31" s="10"/>
    </row>
  </sheetData>
  <conditionalFormatting sqref="G2:G21">
    <cfRule type="dataBar" priority="6">
      <dataBar>
        <cfvo type="min"/>
        <cfvo type="max"/>
        <color rgb="FF638EC6"/>
      </dataBar>
      <extLst>
        <ext xmlns:x14="http://schemas.microsoft.com/office/spreadsheetml/2009/9/main" uri="{B025F937-C7B1-47D3-B67F-A62EFF666E3E}">
          <x14:id>{59298E7C-FC97-4D20-856E-08244CBDBCE9}</x14:id>
        </ext>
      </extLst>
    </cfRule>
  </conditionalFormatting>
  <conditionalFormatting sqref="H2:H21">
    <cfRule type="dataBar" priority="3">
      <dataBar>
        <cfvo type="min"/>
        <cfvo type="max"/>
        <color rgb="FF638EC6"/>
      </dataBar>
      <extLst>
        <ext xmlns:x14="http://schemas.microsoft.com/office/spreadsheetml/2009/9/main" uri="{B025F937-C7B1-47D3-B67F-A62EFF666E3E}">
          <x14:id>{27BB4B75-E78D-4BC2-BF4F-6080994B4ED1}</x14:id>
        </ext>
      </extLst>
    </cfRule>
    <cfRule type="dataBar" priority="4">
      <dataBar>
        <cfvo type="min"/>
        <cfvo type="max"/>
        <color rgb="FF638EC6"/>
      </dataBar>
      <extLst>
        <ext xmlns:x14="http://schemas.microsoft.com/office/spreadsheetml/2009/9/main" uri="{B025F937-C7B1-47D3-B67F-A62EFF666E3E}">
          <x14:id>{70F0FF23-F582-4484-8E6F-A4BCB2A411A5}</x14:id>
        </ext>
      </extLst>
    </cfRule>
  </conditionalFormatting>
  <conditionalFormatting sqref="I2:I21">
    <cfRule type="dataBar" priority="2">
      <dataBar>
        <cfvo type="min"/>
        <cfvo type="max"/>
        <color rgb="FF638EC6"/>
      </dataBar>
      <extLst>
        <ext xmlns:x14="http://schemas.microsoft.com/office/spreadsheetml/2009/9/main" uri="{B025F937-C7B1-47D3-B67F-A62EFF666E3E}">
          <x14:id>{1BE44D09-5C20-474F-873C-5BCA41598B65}</x14:id>
        </ext>
      </extLst>
    </cfRule>
  </conditionalFormatting>
  <pageMargins left="0.7" right="0.7" top="0.75" bottom="0.75" header="0.3" footer="0.3"/>
  <pageSetup orientation="portrait" r:id="rId1"/>
  <ignoredErrors>
    <ignoredError sqref="B2 B15:B21"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ampleCall">
                <anchor moveWithCells="1" sizeWithCells="1">
                  <from>
                    <xdr:col>8</xdr:col>
                    <xdr:colOff>22860</xdr:colOff>
                    <xdr:row>22</xdr:row>
                    <xdr:rowOff>22860</xdr:rowOff>
                  </from>
                  <to>
                    <xdr:col>11</xdr:col>
                    <xdr:colOff>1066800</xdr:colOff>
                    <xdr:row>29</xdr:row>
                    <xdr:rowOff>129540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59298E7C-FC97-4D20-856E-08244CBDBCE9}">
            <x14:dataBar minLength="0" maxLength="100" gradient="0">
              <x14:cfvo type="autoMin"/>
              <x14:cfvo type="autoMax"/>
              <x14:negativeFillColor rgb="FFFF0000"/>
              <x14:axisColor rgb="FF000000"/>
            </x14:dataBar>
          </x14:cfRule>
          <xm:sqref>G2:G21</xm:sqref>
        </x14:conditionalFormatting>
        <x14:conditionalFormatting xmlns:xm="http://schemas.microsoft.com/office/excel/2006/main">
          <x14:cfRule type="dataBar" id="{27BB4B75-E78D-4BC2-BF4F-6080994B4ED1}">
            <x14:dataBar minLength="0" maxLength="100" gradient="0" negativeBarColorSameAsPositive="1">
              <x14:cfvo type="autoMin"/>
              <x14:cfvo type="autoMax"/>
              <x14:axisColor rgb="FF000000"/>
            </x14:dataBar>
          </x14:cfRule>
          <x14:cfRule type="dataBar" id="{70F0FF23-F582-4484-8E6F-A4BCB2A411A5}">
            <x14:dataBar minLength="0" maxLength="100" gradient="0">
              <x14:cfvo type="autoMin"/>
              <x14:cfvo type="autoMax"/>
              <x14:negativeFillColor rgb="FFFF0000"/>
              <x14:axisColor rgb="FF000000"/>
            </x14:dataBar>
          </x14:cfRule>
          <xm:sqref>H2:H21</xm:sqref>
        </x14:conditionalFormatting>
        <x14:conditionalFormatting xmlns:xm="http://schemas.microsoft.com/office/excel/2006/main">
          <x14:cfRule type="dataBar" id="{1BE44D09-5C20-474F-873C-5BCA41598B65}">
            <x14:dataBar minLength="0" maxLength="100" gradient="0">
              <x14:cfvo type="autoMin"/>
              <x14:cfvo type="autoMax"/>
              <x14:negativeFillColor rgb="FFFF0000"/>
              <x14:axisColor rgb="FF000000"/>
            </x14:dataBar>
          </x14:cfRule>
          <xm:sqref>I2:I21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workbookViewId="0"/>
  </sheetViews>
  <sheetFormatPr defaultColWidth="11" defaultRowHeight="15.6" x14ac:dyDescent="0.3"/>
  <sheetData/>
  <pageMargins left="0.75" right="0.75" top="1" bottom="1" header="0.5" footer="0.5"/>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7"/>
  <sheetViews>
    <sheetView workbookViewId="0"/>
  </sheetViews>
  <sheetFormatPr defaultColWidth="8.8984375" defaultRowHeight="15.6" x14ac:dyDescent="0.3"/>
  <cols>
    <col min="1" max="1" width="14.69921875" style="1" customWidth="1"/>
    <col min="2" max="2" width="9.19921875" style="1" customWidth="1"/>
    <col min="3" max="16384" width="8.8984375" style="1"/>
  </cols>
  <sheetData>
    <row r="1" spans="1:2" x14ac:dyDescent="0.3">
      <c r="A1" s="1" t="s">
        <v>8</v>
      </c>
      <c r="B1" s="1" t="s">
        <v>13</v>
      </c>
    </row>
    <row r="2" spans="1:2" x14ac:dyDescent="0.3">
      <c r="A2" s="1" t="s">
        <v>9</v>
      </c>
    </row>
    <row r="3" spans="1:2" x14ac:dyDescent="0.3">
      <c r="A3" s="1" t="s">
        <v>0</v>
      </c>
    </row>
    <row r="4" spans="1:2" x14ac:dyDescent="0.3">
      <c r="A4" s="1" t="s">
        <v>7</v>
      </c>
    </row>
    <row r="5" spans="1:2" x14ac:dyDescent="0.3">
      <c r="A5" s="1" t="s">
        <v>5</v>
      </c>
    </row>
    <row r="6" spans="1:2" x14ac:dyDescent="0.3">
      <c r="A6" s="1" t="s">
        <v>1</v>
      </c>
    </row>
    <row r="7" spans="1:2" x14ac:dyDescent="0.3">
      <c r="A7" s="1" t="s">
        <v>2</v>
      </c>
      <c r="B7" s="1" t="b">
        <v>0</v>
      </c>
    </row>
    <row r="8" spans="1:2" x14ac:dyDescent="0.3">
      <c r="A8" s="1" t="s">
        <v>3</v>
      </c>
      <c r="B8" s="1" t="b">
        <v>0</v>
      </c>
    </row>
    <row r="9" spans="1:2" x14ac:dyDescent="0.3">
      <c r="A9" s="1" t="s">
        <v>12</v>
      </c>
      <c r="B9" s="1" t="b">
        <v>0</v>
      </c>
    </row>
    <row r="13" spans="1:2" x14ac:dyDescent="0.3">
      <c r="A13" s="2" t="s">
        <v>4</v>
      </c>
    </row>
    <row r="14" spans="1:2" x14ac:dyDescent="0.3">
      <c r="A14" s="1" t="s">
        <v>10</v>
      </c>
    </row>
    <row r="15" spans="1:2" x14ac:dyDescent="0.3">
      <c r="A15" s="1" t="s">
        <v>14</v>
      </c>
    </row>
    <row r="16" spans="1:2" x14ac:dyDescent="0.3">
      <c r="A16" s="1" t="s">
        <v>6</v>
      </c>
    </row>
    <row r="17" spans="1:1" x14ac:dyDescent="0.3">
      <c r="A17" s="1" t="s">
        <v>11</v>
      </c>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Inputs</vt:lpstr>
      <vt:lpstr>Sheet1</vt:lpstr>
      <vt:lpstr>_xlwings.conf</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Felix</dc:creator>
  <cp:keywords/>
  <dc:description/>
  <cp:lastModifiedBy>May, David (SE GP I PR TI PTS GTT)</cp:lastModifiedBy>
  <dcterms:created xsi:type="dcterms:W3CDTF">2015-01-25T11:31:25Z</dcterms:created>
  <dcterms:modified xsi:type="dcterms:W3CDTF">2022-09-16T17:50:48Z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6791f77-3d39-4d72-9277-ac879ec799ed_Enabled">
    <vt:lpwstr>true</vt:lpwstr>
  </property>
  <property fmtid="{D5CDD505-2E9C-101B-9397-08002B2CF9AE}" pid="3" name="MSIP_Label_36791f77-3d39-4d72-9277-ac879ec799ed_SetDate">
    <vt:lpwstr>2022-09-10T15:47:33Z</vt:lpwstr>
  </property>
  <property fmtid="{D5CDD505-2E9C-101B-9397-08002B2CF9AE}" pid="4" name="MSIP_Label_36791f77-3d39-4d72-9277-ac879ec799ed_Method">
    <vt:lpwstr>Standard</vt:lpwstr>
  </property>
  <property fmtid="{D5CDD505-2E9C-101B-9397-08002B2CF9AE}" pid="5" name="MSIP_Label_36791f77-3d39-4d72-9277-ac879ec799ed_Name">
    <vt:lpwstr>restricted-default</vt:lpwstr>
  </property>
  <property fmtid="{D5CDD505-2E9C-101B-9397-08002B2CF9AE}" pid="6" name="MSIP_Label_36791f77-3d39-4d72-9277-ac879ec799ed_SiteId">
    <vt:lpwstr>254ba93e-1f6f-48f3-90e6-e2766664b477</vt:lpwstr>
  </property>
  <property fmtid="{D5CDD505-2E9C-101B-9397-08002B2CF9AE}" pid="7" name="MSIP_Label_36791f77-3d39-4d72-9277-ac879ec799ed_ActionId">
    <vt:lpwstr>09abecea-de2b-4186-865a-c956f4134496</vt:lpwstr>
  </property>
  <property fmtid="{D5CDD505-2E9C-101B-9397-08002B2CF9AE}" pid="8" name="MSIP_Label_36791f77-3d39-4d72-9277-ac879ec799ed_ContentBits">
    <vt:lpwstr>0</vt:lpwstr>
  </property>
</Properties>
</file>