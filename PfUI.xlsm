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C:\Users\z003eb4h\Documents\codes\GitHub\Pfoolio\"/>
    </mc:Choice>
  </mc:AlternateContent>
  <xr:revisionPtr revIDLastSave="0" documentId="13_ncr:1_{45A9396B-A5E8-4B28-931E-4BD67E431834}" xr6:coauthVersionLast="47" xr6:coauthVersionMax="47" xr10:uidLastSave="{00000000-0000-0000-0000-000000000000}"/>
  <bookViews>
    <workbookView xWindow="-108" yWindow="-108" windowWidth="23256" windowHeight="12576" tabRatio="500" xr2:uid="{00000000-000D-0000-FFFF-FFFF00000000}"/>
  </bookViews>
  <sheets>
    <sheet name="Inputs" sheetId="3" r:id="rId1"/>
    <sheet name="Sheet1" sheetId="1" state="hidden" r:id="rId2"/>
    <sheet name="_xlwings.conf" sheetId="2" state="hidden" r:id="rId3"/>
  </sheets>
  <functionGroups builtInGroupCount="19"/>
  <definedNames>
    <definedName name="solver_adj" localSheetId="0" hidden="1">Inputs!$I$2:$I$21</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lhs1" localSheetId="0" hidden="1">Inputs!$B$30</definedName>
    <definedName name="solver_lhs2" localSheetId="0" hidden="1">Inputs!$I$2</definedName>
    <definedName name="solver_lhs3" localSheetId="0" hidden="1">Inputs!$I$3</definedName>
    <definedName name="solver_lhs4" localSheetId="0" hidden="1">Inputs!$I$4</definedName>
    <definedName name="solver_lhs5" localSheetId="0" hidden="1">Inputs!$I$5</definedName>
    <definedName name="solver_lhs6" localSheetId="0" hidden="1">Inputs!$I$6</definedName>
    <definedName name="solver_lhs7" localSheetId="0" hidden="1">Inputs!$I$7</definedName>
    <definedName name="solver_lhs8" localSheetId="0" hidden="1">Inputs!$I$8</definedName>
    <definedName name="solver_lhs9" localSheetId="0" hidden="1">Inputs!#REF!</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9</definedName>
    <definedName name="solver_nwt" localSheetId="0" hidden="1">1</definedName>
    <definedName name="solver_opt" localSheetId="0" hidden="1">Inputs!#REF!</definedName>
    <definedName name="solver_pre" localSheetId="0" hidden="1">0.000001</definedName>
    <definedName name="solver_rbv" localSheetId="0" hidden="1">2</definedName>
    <definedName name="solver_rel1" localSheetId="0" hidden="1">1</definedName>
    <definedName name="solver_rel2" localSheetId="0" hidden="1">1</definedName>
    <definedName name="solver_rel3" localSheetId="0" hidden="1">1</definedName>
    <definedName name="solver_rel4" localSheetId="0" hidden="1">1</definedName>
    <definedName name="solver_rel5" localSheetId="0" hidden="1">1</definedName>
    <definedName name="solver_rel6" localSheetId="0" hidden="1">1</definedName>
    <definedName name="solver_rel7" localSheetId="0" hidden="1">1</definedName>
    <definedName name="solver_rel8" localSheetId="0" hidden="1">1</definedName>
    <definedName name="solver_rel9" localSheetId="0" hidden="1">1</definedName>
    <definedName name="solver_rhs1" localSheetId="0" hidden="1">Inputs!$B$28</definedName>
    <definedName name="solver_rhs2" localSheetId="0" hidden="1">Inputs!$B$29</definedName>
    <definedName name="solver_rhs3" localSheetId="0" hidden="1">Inputs!$B$29</definedName>
    <definedName name="solver_rhs4" localSheetId="0" hidden="1">Inputs!$B$29</definedName>
    <definedName name="solver_rhs5" localSheetId="0" hidden="1">Inputs!$B$29</definedName>
    <definedName name="solver_rhs6" localSheetId="0" hidden="1">Inputs!$B$29</definedName>
    <definedName name="solver_rhs7" localSheetId="0" hidden="1">Inputs!$B$29</definedName>
    <definedName name="solver_rhs8" localSheetId="0" hidden="1">Inputs!$B$29</definedName>
    <definedName name="solver_rhs9" localSheetId="0" hidden="1">Inputs!$B$29</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2" i="3" l="1" a="1"/>
  <c r="M2" i="3" s="1"/>
  <c r="M3" i="3" a="1"/>
  <c r="M3" i="3" s="1"/>
  <c r="M4" i="3" a="1"/>
  <c r="M4" i="3" s="1"/>
  <c r="M5" i="3" a="1"/>
  <c r="M5" i="3" s="1"/>
  <c r="M6" i="3" a="1"/>
  <c r="M6" i="3" s="1"/>
  <c r="M7" i="3" a="1"/>
  <c r="M7" i="3" s="1"/>
  <c r="M8" i="3" a="1"/>
  <c r="M8" i="3" s="1"/>
  <c r="M9" i="3" a="1"/>
  <c r="M9" i="3" s="1"/>
  <c r="M10" i="3" a="1"/>
  <c r="M10" i="3" s="1"/>
  <c r="M11" i="3" a="1"/>
  <c r="M11" i="3" s="1"/>
  <c r="M12" i="3" a="1"/>
  <c r="M12" i="3" s="1"/>
  <c r="M13" i="3" a="1"/>
  <c r="M13" i="3" s="1"/>
  <c r="M14" i="3" a="1"/>
  <c r="M14" i="3" s="1"/>
  <c r="M15" i="3" a="1"/>
  <c r="M15" i="3" s="1"/>
  <c r="M16" i="3" a="1"/>
  <c r="M16" i="3" s="1"/>
  <c r="M17" i="3" a="1"/>
  <c r="M17" i="3" s="1"/>
  <c r="M18" i="3" a="1"/>
  <c r="M18" i="3" s="1"/>
  <c r="M19" i="3" a="1"/>
  <c r="M19" i="3" s="1"/>
  <c r="M20" i="3" a="1"/>
  <c r="M20" i="3" s="1"/>
  <c r="M21" i="3" a="1"/>
  <c r="M21" i="3" s="1"/>
  <c r="B14" i="3" l="1" a="1"/>
  <c r="B14" i="3" s="1"/>
  <c r="C10" i="3"/>
  <c r="B3" i="3" a="1"/>
  <c r="B3" i="3" s="1"/>
  <c r="B4" i="3" a="1"/>
  <c r="B4" i="3" s="1"/>
  <c r="B5" i="3" a="1"/>
  <c r="B5" i="3" s="1"/>
  <c r="B6" i="3" a="1"/>
  <c r="B6" i="3" s="1"/>
  <c r="B7" i="3" a="1"/>
  <c r="B7" i="3" s="1"/>
  <c r="B8" i="3" a="1"/>
  <c r="B8" i="3" s="1"/>
  <c r="B9" i="3" a="1"/>
  <c r="B9" i="3" s="1"/>
  <c r="B10" i="3" a="1"/>
  <c r="B10" i="3" s="1"/>
  <c r="B11" i="3" a="1"/>
  <c r="B11" i="3" s="1"/>
  <c r="B12" i="3" a="1"/>
  <c r="B12" i="3" s="1"/>
  <c r="B13" i="3" a="1"/>
  <c r="B13" i="3" s="1"/>
  <c r="B2" i="3" l="1" a="1"/>
  <c r="B2" i="3" s="1"/>
  <c r="F2" i="3"/>
  <c r="F3" i="3"/>
  <c r="F4" i="3"/>
  <c r="F5" i="3"/>
  <c r="F6" i="3"/>
  <c r="F7" i="3"/>
  <c r="F8" i="3"/>
  <c r="F9" i="3"/>
  <c r="F10" i="3"/>
  <c r="H11" i="3"/>
  <c r="F11" i="3"/>
  <c r="F12" i="3"/>
  <c r="F13" i="3"/>
  <c r="F14" i="3"/>
  <c r="B15" i="3" a="1"/>
  <c r="B15" i="3" s="1"/>
  <c r="F15" i="3"/>
  <c r="B16" i="3" a="1"/>
  <c r="B16" i="3" s="1"/>
  <c r="F16" i="3"/>
  <c r="B17" i="3" a="1"/>
  <c r="B17" i="3" s="1"/>
  <c r="F17" i="3"/>
  <c r="B18" i="3" a="1"/>
  <c r="B18" i="3" s="1"/>
  <c r="F18" i="3"/>
  <c r="B19" i="3" a="1"/>
  <c r="B19" i="3" s="1"/>
  <c r="F19" i="3"/>
  <c r="B20" i="3" a="1"/>
  <c r="B20" i="3" s="1"/>
  <c r="F20" i="3"/>
  <c r="B21" i="3" a="1"/>
  <c r="B21" i="3" s="1"/>
  <c r="F21" i="3"/>
  <c r="B23" i="3" l="1"/>
  <c r="G11" i="3"/>
  <c r="L11" i="3" s="1"/>
  <c r="G16" i="3"/>
  <c r="H16" i="3"/>
  <c r="J16" i="3" s="1"/>
  <c r="K16" i="3" s="1"/>
  <c r="G8" i="3"/>
  <c r="H8" i="3"/>
  <c r="G15" i="3"/>
  <c r="H15" i="3"/>
  <c r="J15" i="3" s="1"/>
  <c r="K15" i="3" s="1"/>
  <c r="G7" i="3"/>
  <c r="H7" i="3"/>
  <c r="G5" i="3"/>
  <c r="H5" i="3"/>
  <c r="G14" i="3"/>
  <c r="H14" i="3"/>
  <c r="G6" i="3"/>
  <c r="H6" i="3"/>
  <c r="G21" i="3"/>
  <c r="L21" i="3" s="1"/>
  <c r="H21" i="3"/>
  <c r="G13" i="3"/>
  <c r="H13" i="3"/>
  <c r="G20" i="3"/>
  <c r="H20" i="3"/>
  <c r="J20" i="3" s="1"/>
  <c r="K20" i="3" s="1"/>
  <c r="G12" i="3"/>
  <c r="H12" i="3"/>
  <c r="G4" i="3"/>
  <c r="H4" i="3"/>
  <c r="G3" i="3"/>
  <c r="H3" i="3"/>
  <c r="G18" i="3"/>
  <c r="L18" i="3" s="1"/>
  <c r="H18" i="3"/>
  <c r="J18" i="3" s="1"/>
  <c r="K18" i="3" s="1"/>
  <c r="G19" i="3"/>
  <c r="H19" i="3"/>
  <c r="G10" i="3"/>
  <c r="H10" i="3"/>
  <c r="G9" i="3"/>
  <c r="H9" i="3"/>
  <c r="G2" i="3"/>
  <c r="H2" i="3"/>
  <c r="G17" i="3"/>
  <c r="H17" i="3"/>
  <c r="J17" i="3" s="1"/>
  <c r="K17" i="3" s="1"/>
  <c r="J14" i="3" l="1"/>
  <c r="K14" i="3" s="1"/>
  <c r="L16" i="3"/>
  <c r="J19" i="3"/>
  <c r="K19" i="3" s="1"/>
  <c r="J12" i="3"/>
  <c r="K12" i="3" s="1"/>
  <c r="J2" i="3"/>
  <c r="K2" i="3" s="1"/>
  <c r="J9" i="3"/>
  <c r="K9" i="3" s="1"/>
  <c r="J10" i="3"/>
  <c r="K10" i="3" s="1"/>
  <c r="J4" i="3"/>
  <c r="K4" i="3" s="1"/>
  <c r="J7" i="3"/>
  <c r="K7" i="3" s="1"/>
  <c r="J6" i="3"/>
  <c r="K6" i="3" s="1"/>
  <c r="L8" i="3"/>
  <c r="J11" i="3"/>
  <c r="K11" i="3" s="1"/>
  <c r="L5" i="3"/>
  <c r="J13" i="3"/>
  <c r="K13" i="3" s="1"/>
  <c r="L3" i="3"/>
  <c r="J21" i="3"/>
  <c r="K21" i="3" s="1"/>
  <c r="L14" i="3"/>
  <c r="J3" i="3"/>
  <c r="K3" i="3" s="1"/>
  <c r="J5" i="3"/>
  <c r="K5" i="3" s="1"/>
  <c r="L6" i="3"/>
  <c r="L10" i="3"/>
  <c r="L13" i="3"/>
  <c r="L17" i="3"/>
  <c r="L4" i="3"/>
  <c r="L7" i="3"/>
  <c r="L15" i="3"/>
  <c r="J8" i="3"/>
  <c r="K8" i="3" s="1"/>
  <c r="L19" i="3"/>
  <c r="L2" i="3"/>
  <c r="L12" i="3"/>
  <c r="L9" i="3"/>
  <c r="L2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5">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futureMetadata>
  <cellMetadata count="1">
    <bk>
      <rc t="1" v="0"/>
    </bk>
  </cellMetadata>
  <valueMetadata count="15">
    <bk>
      <rc t="2" v="0"/>
    </bk>
    <bk>
      <rc t="2" v="1"/>
    </bk>
    <bk>
      <rc t="2" v="2"/>
    </bk>
    <bk>
      <rc t="2" v="3"/>
    </bk>
    <bk>
      <rc t="2" v="4"/>
    </bk>
    <bk>
      <rc t="2" v="5"/>
    </bk>
    <bk>
      <rc t="2" v="6"/>
    </bk>
    <bk>
      <rc t="2" v="7"/>
    </bk>
    <bk>
      <rc t="2" v="8"/>
    </bk>
    <bk>
      <rc t="2" v="9"/>
    </bk>
    <bk>
      <rc t="2" v="10"/>
    </bk>
    <bk>
      <rc t="2" v="11"/>
    </bk>
    <bk>
      <rc t="2" v="12"/>
    </bk>
    <bk>
      <rc t="2" v="13"/>
    </bk>
    <bk>
      <rc t="2" v="14"/>
    </bk>
  </valueMetadata>
</metadata>
</file>

<file path=xl/sharedStrings.xml><?xml version="1.0" encoding="utf-8"?>
<sst xmlns="http://schemas.openxmlformats.org/spreadsheetml/2006/main" count="39" uniqueCount="39">
  <si>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</si>
  <si>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</si>
  <si>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</si>
  <si>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</si>
  <si>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</si>
  <si>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</si>
  <si>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</si>
  <si>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</si>
  <si>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</si>
  <si>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</si>
  <si>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</si>
  <si>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If you delete a row from here, it will fall back to the first non-empty value xlwings finds in an xlwings.conf file and otherwise use the default values.</t>
  </si>
  <si>
    <t>Show Console</t>
  </si>
  <si>
    <t>python</t>
  </si>
  <si>
    <t>Rename this sheet to "xlwings.conf" to activate it (remove the leading underscore).  The settings have to start in cell A1.</t>
  </si>
  <si>
    <t>= for info</t>
  </si>
  <si>
    <t>= calculated</t>
  </si>
  <si>
    <t>= input</t>
  </si>
  <si>
    <t>= automatically updated</t>
  </si>
  <si>
    <t>f, bankroll fraction</t>
  </si>
  <si>
    <t>Analytically calculated growth, f=100%
E(g)</t>
  </si>
  <si>
    <t>Analytically calculated growth, f=f*
E(g)</t>
  </si>
  <si>
    <r>
      <rPr>
        <b/>
        <sz val="10"/>
        <color theme="1"/>
        <rFont val="Arial"/>
        <family val="2"/>
      </rPr>
      <t>Analytical f*, 
for a single position</t>
    </r>
    <r>
      <rPr>
        <sz val="12"/>
        <color theme="1"/>
        <rFont val="Calibri"/>
        <family val="2"/>
        <scheme val="minor"/>
      </rPr>
      <t xml:space="preserve"> 
[% to invest]</t>
    </r>
  </si>
  <si>
    <r>
      <t xml:space="preserve">Wi, 
</t>
    </r>
    <r>
      <rPr>
        <sz val="12"/>
        <color theme="1"/>
        <rFont val="Calibri"/>
        <family val="2"/>
        <scheme val="minor"/>
      </rPr>
      <t>Portfolio weight</t>
    </r>
  </si>
  <si>
    <r>
      <rPr>
        <b/>
        <sz val="10"/>
        <color theme="1"/>
        <rFont val="Arial"/>
        <family val="2"/>
      </rPr>
      <t>a</t>
    </r>
    <r>
      <rPr>
        <sz val="12"/>
        <color theme="1"/>
        <rFont val="Calibri"/>
        <family val="2"/>
        <scheme val="minor"/>
      </rPr>
      <t xml:space="preserve">
loss</t>
    </r>
  </si>
  <si>
    <r>
      <rPr>
        <b/>
        <sz val="10"/>
        <color theme="1"/>
        <rFont val="Arial"/>
        <family val="2"/>
      </rPr>
      <t xml:space="preserve">b </t>
    </r>
    <r>
      <rPr>
        <sz val="12"/>
        <color theme="1"/>
        <rFont val="Calibri"/>
        <family val="2"/>
        <scheme val="minor"/>
      </rPr>
      <t xml:space="preserve">
gain</t>
    </r>
  </si>
  <si>
    <r>
      <rPr>
        <b/>
        <sz val="10"/>
        <color theme="1"/>
        <rFont val="Arial"/>
        <family val="2"/>
      </rPr>
      <t>q =p-1</t>
    </r>
    <r>
      <rPr>
        <sz val="12"/>
        <color theme="1"/>
        <rFont val="Calibri"/>
        <family val="2"/>
        <scheme val="minor"/>
      </rPr>
      <t xml:space="preserve">
</t>
    </r>
    <r>
      <rPr>
        <sz val="12"/>
        <color theme="1"/>
        <rFont val="Calibri"/>
        <family val="2"/>
        <scheme val="minor"/>
      </rPr>
      <t>Downside probability</t>
    </r>
  </si>
  <si>
    <r>
      <rPr>
        <b/>
        <sz val="10"/>
        <color theme="1"/>
        <rFont val="Arial"/>
        <family val="2"/>
      </rPr>
      <t xml:space="preserve">p </t>
    </r>
    <r>
      <rPr>
        <sz val="12"/>
        <color theme="1"/>
        <rFont val="Calibri"/>
        <family val="2"/>
        <scheme val="minor"/>
      </rPr>
      <t xml:space="preserve">
</t>
    </r>
    <r>
      <rPr>
        <sz val="12"/>
        <color theme="1"/>
        <rFont val="Calibri"/>
        <family val="2"/>
        <scheme val="minor"/>
      </rPr>
      <t>Upside probabilty</t>
    </r>
  </si>
  <si>
    <t>Current Price</t>
  </si>
  <si>
    <t>Objective Weighting factor, t</t>
  </si>
  <si>
    <t>Stocks</t>
  </si>
  <si>
    <t>Years to price target</t>
  </si>
  <si>
    <t>Max Leverage, Fmax</t>
  </si>
  <si>
    <t>Max postion size, fmax</t>
  </si>
  <si>
    <r>
      <t xml:space="preserve">= calculated using the </t>
    </r>
    <r>
      <rPr>
        <b/>
        <sz val="10"/>
        <color theme="1"/>
        <rFont val="Arial"/>
        <family val="2"/>
      </rPr>
      <t>Optimize</t>
    </r>
    <r>
      <rPr>
        <sz val="12"/>
        <color theme="1"/>
        <rFont val="Calibri"/>
        <family val="2"/>
        <scheme val="minor"/>
      </rPr>
      <t xml:space="preserve"> button</t>
    </r>
  </si>
  <si>
    <t>Return: Growth, E(g)</t>
  </si>
  <si>
    <t>Risk: Semi-deviation below 20% return</t>
  </si>
  <si>
    <t xml:space="preserve">
Upside</t>
  </si>
  <si>
    <t xml:space="preserve">
Downside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</si>
</sst>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_([$$-409]* #,##0.00_);_([$$-409]* \(#,##0.00\);_([$$-409]* &quot;-&quot;??_);_(@_)"/>
    <numFmt numFmtId="166" formatCode="0.0000000000000000%"/>
    <numFmt numFmtId="167" formatCode="_-[$$-409]* #,##0.00_ ;_-[$$-409]* \-#,##0.00\ ;_-[$$-409]* &quot;-&quot;??_ ;_-@_ "/>
    <numFmt numFmtId="168" formatCode="0.0"/>
    <numFmt numFmtId="169" formatCode="0.000"/>
  </numFmts>
  <fonts count="6" x14ac:knownFonts="1">
    <font>
      <sz val="12"/>
      <color theme="1"/>
      <name val="Calibri"/>
      <family val="2"/>
      <scheme val="minor"/>
    </font>
    <font>
      <sz val="10"/>
      <color theme="1"/>
      <name val="Arial"/>
      <family val="2"/>
    </font>
    <font>
      <b/>
      <sz val="12"/>
      <color theme="1"/>
      <name val="Calibri"/>
      <family val="2"/>
      <scheme val="minor"/>
    </font>
    <font>
      <b/>
      <sz val="10"/>
      <color theme="1"/>
      <name val="Arial"/>
      <family val="2"/>
    </font>
    <font>
      <b/>
      <sz val="12"/>
      <color theme="1"/>
      <name val="Arial"/>
      <family val="2"/>
    </font>
    <font>
      <b/>
      <sz val="12"/>
      <color rgb="FF000000"/>
      <name val="Arial"/>
      <family val="2"/>
    </font>
  </fonts>
  <fills count="8">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C000"/>
        <bgColor indexed="64"/>
      </patternFill>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cellStyleXfs>
  <cellXfs count="40">
    <xf numFmtId="0" fontId="0" fillId="0" borderId="0" xfId="0"/>
    <xf numFmtId="0" fontId="0" fillId="0" borderId="0" xfId="0" applyAlignment="1">
      <alignment vertical="center"/>
    </xf>
    <xf numFmtId="0" fontId="2" fillId="0" borderId="0" xfId="0" applyFont="1" applyAlignment="1">
      <alignment vertical="center"/>
    </xf>
    <xf numFmtId="0" fontId="1" fillId="0" borderId="0" xfId="6"/>
    <xf numFmtId="0" fontId="1" fillId="0" borderId="0" xfId="6" quotePrefix="1"/>
    <xf numFmtId="0" fontId="1" fillId="2" borderId="1" xfId="6" applyFill="1" applyBorder="1"/>
    <xf numFmtId="0" fontId="1" fillId="3" borderId="1" xfId="6" applyFill="1" applyBorder="1"/>
    <xf numFmtId="0" fontId="1" fillId="4" borderId="1" xfId="6" applyFill="1" applyBorder="1"/>
    <xf numFmtId="0" fontId="1" fillId="5" borderId="1" xfId="6" applyFill="1" applyBorder="1"/>
    <xf numFmtId="0" fontId="1" fillId="6" borderId="1" xfId="6" applyFill="1" applyBorder="1"/>
    <xf numFmtId="164" fontId="1" fillId="0" borderId="0" xfId="6" applyNumberFormat="1"/>
    <xf numFmtId="165" fontId="1" fillId="0" borderId="0" xfId="6" applyNumberFormat="1"/>
    <xf numFmtId="166" fontId="1" fillId="0" borderId="0" xfId="6" applyNumberFormat="1"/>
    <xf numFmtId="167" fontId="1" fillId="0" borderId="0" xfId="6" applyNumberFormat="1"/>
    <xf numFmtId="164" fontId="1" fillId="5" borderId="1" xfId="6" applyNumberFormat="1" applyFill="1" applyBorder="1"/>
    <xf numFmtId="9" fontId="1" fillId="4" borderId="1" xfId="6" applyNumberFormat="1" applyFill="1" applyBorder="1"/>
    <xf numFmtId="168" fontId="1" fillId="5" borderId="1" xfId="6" applyNumberFormat="1" applyFill="1" applyBorder="1"/>
    <xf numFmtId="9" fontId="3" fillId="4" borderId="1" xfId="6" applyNumberFormat="1" applyFont="1" applyFill="1" applyBorder="1"/>
    <xf numFmtId="9" fontId="1" fillId="0" borderId="0" xfId="6" applyNumberFormat="1"/>
    <xf numFmtId="2" fontId="1" fillId="0" borderId="0" xfId="6" applyNumberFormat="1"/>
    <xf numFmtId="9" fontId="1" fillId="2" borderId="1" xfId="6" applyNumberFormat="1" applyFill="1" applyBorder="1"/>
    <xf numFmtId="169" fontId="1" fillId="2" borderId="1" xfId="6" applyNumberFormat="1" applyFill="1" applyBorder="1"/>
    <xf numFmtId="9" fontId="4" fillId="3" borderId="1" xfId="6" applyNumberFormat="1" applyFont="1" applyFill="1" applyBorder="1"/>
    <xf numFmtId="9" fontId="1" fillId="5" borderId="1" xfId="6" applyNumberFormat="1" applyFill="1" applyBorder="1"/>
    <xf numFmtId="1" fontId="1" fillId="5" borderId="1" xfId="6" applyNumberFormat="1" applyFill="1" applyBorder="1"/>
    <xf numFmtId="165" fontId="1" fillId="6" borderId="1" xfId="6" applyNumberFormat="1" applyFill="1" applyBorder="1"/>
    <xf numFmtId="0" fontId="1" fillId="7" borderId="2" xfId="6" applyFill="1" applyBorder="1"/>
    <xf numFmtId="0" fontId="1" fillId="7" borderId="3" xfId="6" applyFill="1" applyBorder="1"/>
    <xf numFmtId="0" fontId="1" fillId="7" borderId="4" xfId="6" applyFill="1" applyBorder="1"/>
    <xf numFmtId="0" fontId="1" fillId="0" borderId="0" xfId="6" applyAlignment="1">
      <alignment horizontal="left"/>
    </xf>
    <xf numFmtId="0" fontId="3" fillId="0" borderId="0" xfId="6" applyFont="1" applyAlignment="1">
      <alignment horizontal="left" wrapText="1"/>
    </xf>
    <xf numFmtId="0" fontId="1" fillId="0" borderId="0" xfId="6" applyAlignment="1">
      <alignment horizontal="left" wrapText="1"/>
    </xf>
    <xf numFmtId="0" fontId="4" fillId="0" borderId="0" xfId="6" applyFont="1"/>
    <xf numFmtId="0" fontId="3" fillId="4" borderId="1" xfId="6" applyFont="1" applyFill="1" applyBorder="1"/>
    <xf numFmtId="9" fontId="3" fillId="3" borderId="1" xfId="6" applyNumberFormat="1" applyFont="1" applyFill="1" applyBorder="1"/>
    <xf numFmtId="164" fontId="3" fillId="3" borderId="1" xfId="6" applyNumberFormat="1" applyFont="1" applyFill="1" applyBorder="1"/>
    <xf numFmtId="3" fontId="1" fillId="0" borderId="0" xfId="6" applyNumberFormat="1"/>
    <xf numFmtId="0" fontId="1" fillId="0" borderId="0" xfId="6" applyFill="1" applyBorder="1" applyAlignment="1">
      <alignment horizontal="left"/>
    </xf>
    <xf numFmtId="0" fontId="1" fillId="0" borderId="0" xfId="6" applyFill="1" applyBorder="1"/>
    <xf numFmtId="9" fontId="4" fillId="0" borderId="0" xfId="6" applyNumberFormat="1" applyFont="1" applyFill="1" applyBorder="1"/>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2" xfId="6" xr:uid="{4AD132E7-4846-4F56-8FB7-9ED69144488D}"/>
    <cellStyle name="Percent" xfId="1" xr:uid="{00000000-0005-0000-0000-000001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22</xdr:row>
          <xdr:rowOff>22860</xdr:rowOff>
        </xdr:from>
        <xdr:to>
          <xdr:col>11</xdr:col>
          <xdr:colOff>1066800</xdr:colOff>
          <xdr:row>29</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4" name="Speech Bubble: Rectangle 3">
          <a:extLst>
            <a:ext uri="{FF2B5EF4-FFF2-40B4-BE49-F238E27FC236}">
              <a16:creationId xmlns:a16="http://schemas.microsoft.com/office/drawing/2014/main" id="{00000000-0008-0000-0000-000004000000}"/>
            </a:ext>
          </a:extLst>
        </xdr:cNvPr>
        <xdr:cNvSpPr/>
      </xdr:nvSpPr>
      <xdr:spPr>
        <a:xfrm>
          <a:off x="610688" y="169817"/>
          <a:ext cx="605245" cy="108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5</xdr:col>
      <xdr:colOff>97969</xdr:colOff>
      <xdr:row>27</xdr:row>
      <xdr:rowOff>1</xdr:rowOff>
    </xdr:from>
    <xdr:to>
      <xdr:col>7</xdr:col>
      <xdr:colOff>141513</xdr:colOff>
      <xdr:row>32</xdr:row>
      <xdr:rowOff>69273</xdr:rowOff>
    </xdr:to>
    <xdr:sp macro="" textlink="">
      <xdr:nvSpPr>
        <xdr:cNvPr id="6" name="Speech Bubble: Rectangle 5">
          <a:extLst>
            <a:ext uri="{FF2B5EF4-FFF2-40B4-BE49-F238E27FC236}">
              <a16:creationId xmlns:a16="http://schemas.microsoft.com/office/drawing/2014/main" id="{00000000-0008-0000-0000-000006000000}"/>
            </a:ext>
          </a:extLst>
        </xdr:cNvPr>
        <xdr:cNvSpPr/>
      </xdr:nvSpPr>
      <xdr:spPr>
        <a:xfrm>
          <a:off x="7579424" y="6622474"/>
          <a:ext cx="2052453" cy="983672"/>
        </a:xfrm>
        <a:prstGeom prst="wedgeRectCallout">
          <a:avLst>
            <a:gd name="adj1" fmla="val -200446"/>
            <a:gd name="adj2" fmla="val -533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risk</a:t>
          </a:r>
          <a:endParaRPr lang="fr-CA" sz="900"/>
        </a:p>
      </xdr:txBody>
    </xdr:sp>
    <xdr:clientData/>
  </xdr:twoCellAnchor>
  <xdr:twoCellAnchor>
    <xdr:from>
      <xdr:col>2</xdr:col>
      <xdr:colOff>707570</xdr:colOff>
      <xdr:row>21</xdr:row>
      <xdr:rowOff>76199</xdr:rowOff>
    </xdr:from>
    <xdr:to>
      <xdr:col>5</xdr:col>
      <xdr:colOff>217714</xdr:colOff>
      <xdr:row>26</xdr:row>
      <xdr:rowOff>119743</xdr:rowOff>
    </xdr:to>
    <xdr:sp macro="" textlink="">
      <xdr:nvSpPr>
        <xdr:cNvPr id="7" name="Speech Bubble: Rectangle 6">
          <a:extLst>
            <a:ext uri="{FF2B5EF4-FFF2-40B4-BE49-F238E27FC236}">
              <a16:creationId xmlns:a16="http://schemas.microsoft.com/office/drawing/2014/main" id="{00000000-0008-0000-0000-000007000000}"/>
            </a:ext>
          </a:extLst>
        </xdr:cNvPr>
        <xdr:cNvSpPr/>
      </xdr:nvSpPr>
      <xdr:spPr>
        <a:xfrm>
          <a:off x="1827710" y="3596639"/>
          <a:ext cx="1438004" cy="881744"/>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9</xdr:col>
      <xdr:colOff>1151905</xdr:colOff>
      <xdr:row>30</xdr:row>
      <xdr:rowOff>130630</xdr:rowOff>
    </xdr:from>
    <xdr:to>
      <xdr:col>11</xdr:col>
      <xdr:colOff>987631</xdr:colOff>
      <xdr:row>36</xdr:row>
      <xdr:rowOff>138546</xdr:rowOff>
    </xdr:to>
    <xdr:sp macro="" textlink="">
      <xdr:nvSpPr>
        <xdr:cNvPr id="9" name="Speech Bubble: Rectangle 8">
          <a:extLst>
            <a:ext uri="{FF2B5EF4-FFF2-40B4-BE49-F238E27FC236}">
              <a16:creationId xmlns:a16="http://schemas.microsoft.com/office/drawing/2014/main" id="{00000000-0008-0000-0000-000009000000}"/>
            </a:ext>
          </a:extLst>
        </xdr:cNvPr>
        <xdr:cNvSpPr/>
      </xdr:nvSpPr>
      <xdr:spPr>
        <a:xfrm>
          <a:off x="12207832" y="7334994"/>
          <a:ext cx="2038599" cy="1005443"/>
        </a:xfrm>
        <a:prstGeom prst="wedgeRectCallout">
          <a:avLst>
            <a:gd name="adj1" fmla="val -96590"/>
            <a:gd name="adj2" fmla="val -600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32</xdr:row>
      <xdr:rowOff>21773</xdr:rowOff>
    </xdr:from>
    <xdr:to>
      <xdr:col>4</xdr:col>
      <xdr:colOff>1251855</xdr:colOff>
      <xdr:row>36</xdr:row>
      <xdr:rowOff>0</xdr:rowOff>
    </xdr:to>
    <xdr:sp macro="" textlink="">
      <xdr:nvSpPr>
        <xdr:cNvPr id="10" name="Speech Bubble: Rectangle 9">
          <a:extLst>
            <a:ext uri="{FF2B5EF4-FFF2-40B4-BE49-F238E27FC236}">
              <a16:creationId xmlns:a16="http://schemas.microsoft.com/office/drawing/2014/main" id="{00000000-0008-0000-0000-00000A000000}"/>
            </a:ext>
          </a:extLst>
        </xdr:cNvPr>
        <xdr:cNvSpPr/>
      </xdr:nvSpPr>
      <xdr:spPr>
        <a:xfrm>
          <a:off x="1001485" y="5553893"/>
          <a:ext cx="2048690" cy="648787"/>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2</xdr:col>
      <xdr:colOff>432458</xdr:colOff>
      <xdr:row>0</xdr:row>
      <xdr:rowOff>194953</xdr:rowOff>
    </xdr:from>
    <xdr:to>
      <xdr:col>4</xdr:col>
      <xdr:colOff>209799</xdr:colOff>
      <xdr:row>0</xdr:row>
      <xdr:rowOff>880753</xdr:rowOff>
    </xdr:to>
    <xdr:sp macro="" textlink="">
      <xdr:nvSpPr>
        <xdr:cNvPr id="11" name="Speech Bubble: Rectangle 10">
          <a:extLst>
            <a:ext uri="{FF2B5EF4-FFF2-40B4-BE49-F238E27FC236}">
              <a16:creationId xmlns:a16="http://schemas.microsoft.com/office/drawing/2014/main" id="{00000000-0008-0000-0000-00000B000000}"/>
            </a:ext>
          </a:extLst>
        </xdr:cNvPr>
        <xdr:cNvSpPr/>
      </xdr:nvSpPr>
      <xdr:spPr>
        <a:xfrm>
          <a:off x="4768931" y="194953"/>
          <a:ext cx="1647704"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editAs="oneCell">
    <xdr:from>
      <xdr:col>6</xdr:col>
      <xdr:colOff>70756</xdr:colOff>
      <xdr:row>37</xdr:row>
      <xdr:rowOff>61684</xdr:rowOff>
    </xdr:from>
    <xdr:to>
      <xdr:col>17</xdr:col>
      <xdr:colOff>337456</xdr:colOff>
      <xdr:row>76</xdr:row>
      <xdr:rowOff>51375</xdr:rowOff>
    </xdr:to>
    <xdr:pic>
      <xdr:nvPicPr>
        <xdr:cNvPr id="1200" name="Bubble">
          <a:extLst>
            <a:ext uri="{FF2B5EF4-FFF2-40B4-BE49-F238E27FC236}">
              <a16:creationId xmlns:a16="http://schemas.microsoft.com/office/drawing/2014/main" id="{579691C0-DBDA-E414-4247-ABAF8A655A3A}"/>
            </a:ext>
          </a:extLst>
        </xdr:cNvPr>
        <xdr:cNvPicPr>
          <a:picLocks/>
        </xdr:cNvPicPr>
      </xdr:nvPicPr>
      <xdr:blipFill>
        <a:blip xmlns:r="http://schemas.openxmlformats.org/officeDocument/2006/relationships" r:embed="rId1"/>
        <a:stretch>
          <a:fillRect/>
        </a:stretch>
      </xdr:blipFill>
      <xdr:spPr>
        <a:xfrm>
          <a:off x="8902336" y="8557984"/>
          <a:ext cx="8557260" cy="6527651"/>
        </a:xfrm>
        <a:prstGeom prst="rect">
          <a:avLst/>
        </a:prstGeom>
      </xdr:spPr>
    </xdr:pic>
    <xdr:clientData/>
  </xdr:twoCellAnchor>
  <xdr:twoCellAnchor editAs="oneCell">
    <xdr:from>
      <xdr:col>0</xdr:col>
      <xdr:colOff>54428</xdr:colOff>
      <xdr:row>37</xdr:row>
      <xdr:rowOff>21771</xdr:rowOff>
    </xdr:from>
    <xdr:to>
      <xdr:col>5</xdr:col>
      <xdr:colOff>1262743</xdr:colOff>
      <xdr:row>76</xdr:row>
      <xdr:rowOff>20509</xdr:rowOff>
    </xdr:to>
    <xdr:pic>
      <xdr:nvPicPr>
        <xdr:cNvPr id="1202" name="Frontier">
          <a:extLst>
            <a:ext uri="{FF2B5EF4-FFF2-40B4-BE49-F238E27FC236}">
              <a16:creationId xmlns:a16="http://schemas.microsoft.com/office/drawing/2014/main" id="{97A80648-295B-3AF9-EEEF-5986CF4219F7}"/>
            </a:ext>
          </a:extLst>
        </xdr:cNvPr>
        <xdr:cNvPicPr>
          <a:picLocks/>
        </xdr:cNvPicPr>
      </xdr:nvPicPr>
      <xdr:blipFill>
        <a:blip xmlns:r="http://schemas.openxmlformats.org/officeDocument/2006/relationships" r:embed="rId2"/>
        <a:stretch>
          <a:fillRect/>
        </a:stretch>
      </xdr:blipFill>
      <xdr:spPr>
        <a:xfrm>
          <a:off x="54428" y="8518071"/>
          <a:ext cx="8691155" cy="6536698"/>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9">
  <rv s="0">
    <v>https://www.bing.com/financeapi/forcetrigger?t=a23yk2&amp;q=XNAS%3aFRG&amp;form=skydnc</v>
    <v>Learn more on Bing</v>
  </rv>
  <rv s="1">
    <v>fr-FR</v>
    <v>a23yk2</v>
    <v>268435456</v>
    <v>1</v>
    <v>Avec Refinitiv</v>
    <v>0</v>
    <v>1</v>
    <v>Franchise Group (XNAS:FRG)</v>
    <v>3</v>
    <v>4</v>
    <v>Finance</v>
    <v>5</v>
    <v>XNAS</v>
    <v>40361910</v>
    <v>2010</v>
    <v>31.605799999999999</v>
    <v>29.66</v>
    <v>1.5599000000000001</v>
    <v>1278665000</v>
    <v>Nasdaq Stock Market</v>
    <v>33.08</v>
    <v>FRG</v>
    <v>44820.843707267966</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32.799999999999997</v>
    <v>55.1</v>
    <v>Specialty Retailers</v>
    <v>0</v>
    <v>-4.2321999999999999E-2</v>
    <v>-1.4</v>
    <v>Franchise Group</v>
    <v>Franchise Group</v>
    <v>32.799999999999997</v>
    <v>5.4908000000000001</v>
    <v>31.68</v>
    <v>109 INNOVATION COURT, SUITE J, DELAWARE, OH, 43015 US</v>
    <v>Bourse</v>
    <v>Franchise Group (XNAS:FRG)</v>
    <v>151</v>
    <v>444775</v>
  </rv>
  <rv s="2">
    <v>1</v>
  </rv>
  <rv s="0">
    <v>https://www.bing.com/financeapi/forcetrigger?t=a1nvvh&amp;q=XNYS%3aATKR&amp;form=skydnc</v>
    <v>Learn more on Bing</v>
  </rv>
  <rv s="1">
    <v>fr-FR</v>
    <v>a1nvvh</v>
    <v>268435456</v>
    <v>1</v>
    <v>Avec Refinitiv</v>
    <v>0</v>
    <v>1</v>
    <v>Atkore (XNYS:ATKR)</v>
    <v>3</v>
    <v>4</v>
    <v>Finance</v>
    <v>5</v>
    <v>XNYS</v>
    <v>41320870</v>
    <v>2010</v>
    <v>76.55</v>
    <v>76.55</v>
    <v>2.2732999999999999</v>
    <v>3285009000</v>
    <v>New York Stock Exchange</v>
    <v>80.209999999999994</v>
    <v>ATKR</v>
    <v>44820.992234721874</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79.5</v>
    <v>123.53</v>
    <v>Machinery, Equipment &amp; Components</v>
    <v>3</v>
    <v>-8.8520000000000005E-3</v>
    <v>-0.71</v>
    <v>Atkore</v>
    <v>Atkore</v>
    <v>78.55</v>
    <v>4.0616000000000003</v>
    <v>79.5</v>
    <v>16100 SOUTH LATHROP AVENUE, HARVEY, IL, 60426 US</v>
    <v>Bourse</v>
    <v>Atkore (XNYS:ATKR)</v>
    <v>980089</v>
    <v>360129</v>
  </rv>
  <rv s="2">
    <v>4</v>
  </rv>
  <rv s="0">
    <v>https://www.bing.com/financeapi/forcetrigger?t=a1s5jc&amp;q=XNYS%3aVTOL&amp;form=skydnc</v>
    <v>Learn more on Bing</v>
  </rv>
  <rv s="1">
    <v>fr-FR</v>
    <v>a1s5jc</v>
    <v>268435456</v>
    <v>1</v>
    <v>Avec Refinitiv</v>
    <v>0</v>
    <v>1</v>
    <v>Bristow Group (XNYS:VTOL)</v>
    <v>3</v>
    <v>4</v>
    <v>Finance</v>
    <v>5</v>
    <v>XNYS</v>
    <v>27936160</v>
    <v>1999</v>
    <v>25.7</v>
    <v>21.61</v>
    <v>1.3371</v>
    <v>739749600</v>
    <v>New York Stock Exchange</v>
    <v>27.62</v>
    <v>VTOL</v>
    <v>44820.958333378905</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27.24</v>
    <v>40.1</v>
    <v>Passenger Transportation Services</v>
    <v>6</v>
    <v>-4.1273999999999998E-2</v>
    <v>-1.1399999999999999</v>
    <v>Bristow Group</v>
    <v>Bristow Group</v>
    <v>27.16</v>
    <v>331.3313</v>
    <v>26.48</v>
    <v>3151 Briarpark Drive, Suite 700, HOUSTON, TX, 77042 US</v>
    <v>Bourse</v>
    <v>Bristow Group (XNYS:VTOL)</v>
    <v>380373</v>
    <v>65300</v>
  </rv>
  <rv s="2">
    <v>7</v>
  </rv>
  <rv s="0">
    <v>https://www.bing.com/financeapi/forcetrigger?t=a1wwsm&amp;q=XNAS%3aLILAK&amp;form=skydnc</v>
    <v>Learn more on Bing</v>
  </rv>
  <rv s="3">
    <v>fr-FR</v>
    <v>a1wwsm</v>
    <v>268435456</v>
    <v>1</v>
    <v>Avec Refinitiv</v>
    <v>6</v>
    <v>7</v>
    <v>Liberty Latin (XNAS:LILAK)</v>
    <v>3</v>
    <v>8</v>
    <v>Finance</v>
    <v>5</v>
    <v>XNAS</v>
    <v>221477400</v>
    <v>2017</v>
    <v>6.48</v>
    <v>6.34</v>
    <v>1.2096</v>
    <v>1507597000</v>
    <v>Nasdaq Stock Market</v>
    <v>6.62</v>
    <v>LILAK</v>
    <v>44820.840504131251</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6.8</v>
    <v>13.88</v>
    <v>Telecommunications Services</v>
    <v>9</v>
    <v>2.4169E-2</v>
    <v>0.16</v>
    <v>Liberty Latin</v>
    <v>Liberty Latin</v>
    <v>6.57</v>
    <v>6.78</v>
    <v>1550 Wewatta Street, Suite 710, DENVER, CO, 80202 US</v>
    <v>Bourse</v>
    <v>Liberty Latin (XNAS:LILAK)</v>
    <v>1</v>
    <v>1062425</v>
  </rv>
  <rv s="2">
    <v>10</v>
  </rv>
  <rv s="0">
    <v>https://www.bing.com/financeapi/forcetrigger?t=a1r32w&amp;q=XNAS%3aWBD&amp;form=skydnc</v>
    <v>Learn more on Bing</v>
  </rv>
  <rv s="1">
    <v>fr-FR</v>
    <v>a1r32w</v>
    <v>268435456</v>
    <v>1</v>
    <v>Avec Refinitiv</v>
    <v>0</v>
    <v>1</v>
    <v>WARNER BROS. DISCOVERY, INC. (XNAS:WBD)</v>
    <v>3</v>
    <v>4</v>
    <v>Finance</v>
    <v>9</v>
    <v>XNAS</v>
    <v>2427593000</v>
    <v>2008</v>
    <v>12.63</v>
    <v>12.23</v>
    <v>1.3743000000000001</v>
    <v>30927530000</v>
    <v>Nasdaq Stock Market</v>
    <v>13.17</v>
    <v>WBD</v>
    <v>44820.999742060158</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13.12</v>
    <v>31.55</v>
    <v>Media &amp; Publishing</v>
    <v>12</v>
    <v>-3.2649999999999998E-2</v>
    <v>-0.43</v>
    <v>WARNER BROS. DISCOVERY, INC.</v>
    <v>WARNER BROS. DISCOVERY, INC.</v>
    <v>13.04</v>
    <v>7.2262000000000004</v>
    <v>12.74</v>
    <v>230 PARK AVENUE SOUTH, NEW YORK, NY, 10003 US</v>
    <v>Bourse</v>
    <v>WARNER BROS. DISCOVERY, INC. (XNAS:WBD)</v>
    <v>4553</v>
    <v>24387364</v>
  </rv>
  <rv s="2">
    <v>13</v>
  </rv>
  <rv s="0">
    <v>https://www.bing.com/financeapi/forcetrigger?t=a1yyec&amp;q=XNAS%3aNXST&amp;form=skydnc</v>
    <v>Learn more on Bing</v>
  </rv>
  <rv s="1">
    <v>fr-FR</v>
    <v>a1yyec</v>
    <v>268435456</v>
    <v>1</v>
    <v>Avec Refinitiv</v>
    <v>0</v>
    <v>1</v>
    <v>Nexstar Media (XNAS:NXST)</v>
    <v>3</v>
    <v>4</v>
    <v>Finance</v>
    <v>5</v>
    <v>XNAS</v>
    <v>38793920</v>
    <v>2001</v>
    <v>187.72499999999999</v>
    <v>139.68799999999999</v>
    <v>1.4656</v>
    <v>7404208000</v>
    <v>Nasdaq Stock Market</v>
    <v>192.52</v>
    <v>NXST</v>
    <v>44820.93312648125</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191.36</v>
    <v>204.62</v>
    <v>Media &amp; Publishing</v>
    <v>15</v>
    <v>-8.6219999999999995E-3</v>
    <v>-1.66</v>
    <v>Nexstar Media</v>
    <v>Nexstar Media</v>
    <v>189.56</v>
    <v>8.8195999999999994</v>
    <v>190.86</v>
    <v>545 E John Carpenter Fwy Ste 700, IRVING, TX, 75062-3932 US</v>
    <v>Bourse</v>
    <v>Nexstar Media (XNAS:NXST)</v>
    <v>702980</v>
    <v>264343</v>
  </rv>
  <rv s="2">
    <v>16</v>
  </rv>
  <rv s="0">
    <v>https://www.bing.com/financeapi/forcetrigger?t=a1vhzr&amp;q=XNAS%3aHROW&amp;form=skydnc</v>
    <v>Learn more on Bing</v>
  </rv>
  <rv s="1">
    <v>fr-FR</v>
    <v>a1vhzr</v>
    <v>268435456</v>
    <v>1</v>
    <v>Avec Refinitiv</v>
    <v>0</v>
    <v>1</v>
    <v>HARROW HEALTH, INC. (XNAS:HROW)</v>
    <v>3</v>
    <v>4</v>
    <v>Finance</v>
    <v>5</v>
    <v>XNAS</v>
    <v>27069980</v>
    <v>2006</v>
    <v>8.9</v>
    <v>5.4</v>
    <v>0.65969999999999995</v>
    <v>243359100</v>
    <v>Nasdaq Stock Market</v>
    <v>9.1999999999999993</v>
    <v>HROW</v>
    <v>44820.840398286717</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9.01</v>
    <v>12.99</v>
    <v>Pharmaceuticals</v>
    <v>18</v>
    <v>-2.2825999999999999E-2</v>
    <v>-0.21</v>
    <v>HARROW HEALTH, INC.</v>
    <v>HARROW HEALTH, INC.</v>
    <v>9</v>
    <v>41.807299999999998</v>
    <v>8.99</v>
    <v>102 WOODMONT BLVD, SUITE 610, NASHVILLE, TN, 37215 US</v>
    <v>Bourse</v>
    <v>HARROW HEALTH, INC. (XNAS:HROW)</v>
    <v>55614</v>
    <v>89929</v>
  </rv>
  <rv s="2">
    <v>19</v>
  </rv>
  <rv s="0">
    <v>https://www.bing.com/financeapi/forcetrigger?t=c1w7rw&amp;q=XNYS%3aPL&amp;form=skydnc</v>
    <v>Learn more on Bing</v>
  </rv>
  <rv s="1">
    <v>fr-FR</v>
    <v>c1w7rw</v>
    <v>268435456</v>
    <v>1</v>
    <v>Avec Refinitiv</v>
    <v>0</v>
    <v>1</v>
    <v>Planet Labs (XNYS:PL)</v>
    <v>3</v>
    <v>4</v>
    <v>Finance</v>
    <v>5</v>
    <v>XNYS</v>
    <v>269877000</v>
    <v>2020</v>
    <v>6.38</v>
    <v>3.7008000000000001</v>
    <v>1.75</v>
    <v>1751502000</v>
    <v>New York Stock Exchange</v>
    <v>7.21</v>
    <v>PL</v>
    <v>44820.997232430469</v>
    <v>Planet Labs PBC, formerly dMY Technology Group, Inc. IV, is a provider of global, daily satellite imagery and geospatial solutions. The Company designs, builds, and operates the Earth observation fleet of imaging satellites, capturing, and compiling data from over three million images per day. The Company’s automated, cloud-native platform processes and manages data catalogue and extracts information. The Company’s platform includes imagery, insights, and machine learning that enables companies, governments, and communities around the world to make decisions about evolving world. Its platform and analytics products include Planet Application Programming Interfaces (APIs), Planet Applications, Planet Basemaps, Planet Fusion, and Planet Analytics Feeds. The Company provides mission-critical data, advanced insights, and software solutions, across agriculture, forestry, intelligence, education and finance companies and government agencies, enabling users to derive satellite imagery.</v>
    <v>USD</v>
    <v>700</v>
    <v>XNYS</v>
    <v>6.9050000000000002</v>
    <v>12.15</v>
    <v>Aerospace &amp; Defense</v>
    <v>21</v>
    <v>-0.10055500000000001</v>
    <v>-0.72499999999999998</v>
    <v>Planet Labs</v>
    <v>Planet Labs</v>
    <v>6.9</v>
    <v>0</v>
    <v>6.4850000000000003</v>
    <v>645 Harrison Street, Floor 4, SAN FRANCISCO, CA, 94107 US</v>
    <v>Bourse</v>
    <v>Planet Labs (XNYS:PL)</v>
    <v>207</v>
    <v>2484394</v>
  </rv>
  <rv s="2">
    <v>22</v>
  </rv>
  <rv s="0">
    <v>https://www.bing.com/financeapi/forcetrigger?t=a1otrw&amp;q=XNYS%3aBRK.B&amp;form=skydnc</v>
    <v>Learn more on Bing</v>
  </rv>
  <rv s="1">
    <v>fr-FR</v>
    <v>a1otrw</v>
    <v>268435456</v>
    <v>1</v>
    <v>Avec Refinitiv</v>
    <v>0</v>
    <v>1</v>
    <v>BERKSHIRE HATHAWAY INC. (XNYS:BRK.B)</v>
    <v>3</v>
    <v>4</v>
    <v>Finance</v>
    <v>9</v>
    <v>XNYS</v>
    <v>1467340</v>
    <v>1998</v>
    <v>273.26</v>
    <v>263.68</v>
    <v>0.93640000000000001</v>
    <v>606253300000</v>
    <v>New York Stock Exchange</v>
    <v>276.7</v>
    <v>BRK.B</v>
    <v>44820.999865196092</v>
    <v>Berkshire Hathaway Inc. est une société holding qui possède des filiales exerçant diverses activités commerciales, notamment l'assurance et la réassurance, les services publics et l'énergie, le transport ferroviaire de marchandises, la fabrication et la vente au détail. Ses segments comprennent l'assurance, comme GEICO, Berkshire Hathaway Primary Group et Berkshire Hathaway Reinsurance Group ; Burlington Northern Santa Fe, LLC, qui est engagée dans l'exploitation du système ferroviaire ; Berkshire Hathaway Energy, qui comprend les services publics d'électricité et de gaz réglementés ; Fabrication, qui comprend les fabricants de divers produits, y compris les produits industriels, de consommation et de construction ; McLane Company, qui s'occupe de la distribution en gros de produits d'épicerie et d'articles non alimentaires ; Service et vente au détail, qui comprend les fournisseurs de divers services, y compris les programmes de propriété partagée d'avions, la formation des pilotes d'aviation, la distribution de composants électroniques et diverses entreprises de vente au détail, y compris les concessionnaires automobiles et la location de meubles.</v>
    <v>USD</v>
    <v>372000</v>
    <v>XNYS</v>
    <v>276.375</v>
    <v>362.1</v>
    <v>Consumer Goods Conglomerates</v>
    <v>24</v>
    <v>-6.8310000000000003E-3</v>
    <v>-1.89</v>
    <v>BERKSHIRE HATHAWAY INC.</v>
    <v>BERKSHIRE HATHAWAY INC.</v>
    <v>275.35000000000002</v>
    <v>6.9047999999999998</v>
    <v>274.81</v>
    <v>3555 Farnam St, OMAHA, NE, 68131 US</v>
    <v>Bourse</v>
    <v>BERKSHIRE HATHAWAY INC. (XNYS:BRK.B)</v>
    <v>2661</v>
    <v>3631593</v>
  </rv>
  <rv s="2">
    <v>25</v>
  </rv>
  <rv s="0">
    <v>https://www.bing.com/financeapi/forcetrigger?t=a21spr&amp;q=XNAS%3aRDI&amp;form=skydnc</v>
    <v>Learn more on Bing</v>
  </rv>
  <rv s="1">
    <v>fr-FR</v>
    <v>a21spr</v>
    <v>268435456</v>
    <v>1</v>
    <v>Avec Refinitiv</v>
    <v>0</v>
    <v>1</v>
    <v>Reading Intl (XNAS:RDI)</v>
    <v>3</v>
    <v>4</v>
    <v>Finance</v>
    <v>9</v>
    <v>XNAS</v>
    <v>23724410</v>
    <v>1999</v>
    <v>3.71</v>
    <v>3.25</v>
    <v>1.5326</v>
    <v>110503900</v>
    <v>Nasdaq Stock Market</v>
    <v>3.96</v>
    <v>RDI</v>
    <v>44820.845122152343</v>
    <v>Reading International, Inc. is a diversified company that is focused on the development, ownership and operation of entertainment and real property assets. The Company operates through two segments: Theatrical Motion Picture Exhibition (Cinema Exhibition) and Real Estate. The Cinema Exhibition segment is primarily engaged in cinema experiences for its guests through hospitality-styled comfort and service, state-of-the-art cinematic presentation, designed venues, curated film and event programming, and crafted food and beverage options. The Real Estate segment is engaged in the real estate business through the development and its ownership and rental or licensing to third parties of retail, commercial and live theatre assets. The Company’s commercial brands include Reading Cinemas, Consolidated Theatres, Angelika Film Center, State Cinema, Angelika Anywhere, 44 Union Square, Newmarket Village, Cannon Park, The Belmont Common, Courtenay Central and Liberty Theatres.</v>
    <v>USD</v>
    <v>97</v>
    <v>XNAS</v>
    <v>3.95</v>
    <v>5.41</v>
    <v>Hotels &amp; Entertainment Services</v>
    <v>27</v>
    <v>-6.3131000000000007E-2</v>
    <v>-0.25</v>
    <v>Reading Intl</v>
    <v>Reading Intl</v>
    <v>3.95</v>
    <v>2.4666000000000001</v>
    <v>3.71</v>
    <v>5995 Sepulveda Blvd Ste 300, CULVER CITY, CA, 90230-6415 US</v>
    <v>Bourse</v>
    <v>Reading Intl (XNAS:RDI)</v>
    <v>75210</v>
    <v>23963</v>
  </rv>
  <rv s="2">
    <v>28</v>
  </rv>
  <rv s="0">
    <v>https://www.bing.com/financeapi/forcetrigger?t=ab1xoc&amp;q=XTSE%3aXIC&amp;form=skydnc</v>
    <v>Learn more on Bing</v>
  </rv>
  <rv s="4">
    <v>fr-FR</v>
    <v>ab1xoc</v>
    <v>268435456</v>
    <v>1</v>
    <v>Avec Refinitiv</v>
    <v>10</v>
    <v>11</v>
    <v>iShrs Core S&amp;P/TSX CC Idx ETF (XTSE:XIC)</v>
    <v>12</v>
    <v>13</v>
    <v>Finance</v>
    <v>14</v>
    <v>XTSE</v>
    <v>30.86</v>
    <v>28.93</v>
    <v>0.997</v>
    <v>9055323705.75</v>
    <v>Toronto Stock Exchange</v>
    <v>0</v>
    <v>0</v>
    <v>31.3</v>
    <v>XIC</v>
    <v>44820.847696759258</v>
    <v>CAD</v>
    <v>31.08</v>
    <v>35.414999999999999</v>
    <v>30</v>
    <v>-8.626E-3</v>
    <v>-0.27</v>
    <v>iShrs Core S&amp;P/TSX CC Idx ETF</v>
    <v>31.03</v>
    <v>31.03</v>
    <v>31.03</v>
    <v>5.9999999999999995E-4</v>
    <v>Fonds coté en bourse</v>
    <v>iShrs Core S&amp;P/TSX CC Idx ETF (XTSE:XIC)</v>
    <v>363291</v>
  </rv>
  <rv s="2">
    <v>31</v>
  </rv>
  <rv s="0">
    <v>https://www.bing.com/financeapi/forcetrigger?t=aaxw8m&amp;q=XTSE%3aECN&amp;form=skydnc</v>
    <v>Learn more on Bing</v>
  </rv>
  <rv s="5">
    <v>fr-FR</v>
    <v>aaxw8m</v>
    <v>268435456</v>
    <v>1</v>
    <v>Avec Refinitiv</v>
    <v>15</v>
    <v>16</v>
    <v>ECN Capital Corp. (XTSE:ECN)</v>
    <v>3</v>
    <v>17</v>
    <v>Finance</v>
    <v>14</v>
    <v>XTSE</v>
    <v>244811900</v>
    <v>2016</v>
    <v>5.0599999999999996</v>
    <v>3.9771000000000001</v>
    <v>1.4489000000000001</v>
    <v>1249202000</v>
    <v>Toronto Stock Exchange</v>
    <v>0</v>
    <v>0</v>
    <v>5.21</v>
    <v>ECN</v>
    <v>44820.833333333336</v>
    <v>ECN Capital Corp. est un fournisseur de services commerciaux aux banques Nord-Américaines, aux coopératives de crédit, aux compagnies d’assurance-vie, aux fonds de pension et aux fonds d’investissement (collectivement ses Partenaires). La Société crée, gère et conseille des actifs de crédit pour le compte de ses Partenaires, principalement des portefeuilles de prêts non garantis, des portefeuilles de prêts garantis et des portefeuilles de cartes de crédit. Les segments de la Société comprennent Triad Financial Services, qui comprend les prêts résidentiels manufacturés, et The Kessler Group, qui comprend les portefeuilles de cartes de crédit à la consommation. Le segment Triad Financial Services de la Société accorde des prêts à la consommation pour l’achat de maisons préfabriquées aux États-Unis et, par la suite, se syndique et vend ces prêts à un réseau d’institutions financières tierces. Le segment du Groupe Kessler fournit des capitaux pour financer des initiatives de marketing au nom de ses Partenaires.</v>
    <v>CAD</v>
    <v>462</v>
    <v>XTSE</v>
    <v>5.1749999999999998</v>
    <v>7.2850000000000001</v>
    <v>Banking Services</v>
    <v>33</v>
    <v>-2.3033000000000001E-2</v>
    <v>-0.12</v>
    <v>ECN Capital Corp.</v>
    <v>ECN Capital Corp.</v>
    <v>5.12</v>
    <v>219.2</v>
    <v>5.09</v>
    <v>5.09</v>
    <v>Royal Bank Plaza, 200 Bay Street, North Tower, Suite 1625, TORONTO, ON, M5J 2J1 CA</v>
    <v>Bourse</v>
    <v>ECN Capital Corp. (XTSE:ECN)</v>
    <v>286307</v>
    <v>486100</v>
  </rv>
  <rv s="2">
    <v>34</v>
  </rv>
  <rv s="6">
    <v>12</v>
    <v>Prix</v>
    <v>0</v>
  </rv>
  <rv s="7">
    <v>12</v>
    <v>1</v>
  </rv>
  <rv s="6">
    <v>12</v>
    <v>Code mnémonique</v>
    <v>0</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hangement (horaires prolongés)"/>
    <k n="Changement en % (horaires prolongés)"/>
    <k n="Clôture précédente"/>
    <k n="Code mnémonique" t="s"/>
    <k n="Dernière heure d'échange"/>
    <k n="Devise" t="s"/>
    <k n="Haut"/>
    <k n="Haut depuis 52 semaines"/>
    <k n="LearnMoreOnLink" t="r"/>
    <k n="Modification (%)"/>
    <k n="Modifier"/>
    <k n="Nom" t="s"/>
    <k n="Ouvrir"/>
    <k n="Prix"/>
    <k n="Prix (horaires prolongés)"/>
    <k n="Taux de dépenses"/>
    <k n="Type d'instrument" t="s"/>
    <k n="UniqueName" t="s"/>
    <k n="Volume"/>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Prix (horaires prolongés)"/>
    <k n="Sièges sociaux" t="s"/>
    <k n="Type d'instrument" t="s"/>
    <k n="UniqueName" t="s"/>
    <k n="Volume"/>
    <k n="Volume moyen"/>
  </s>
  <s t="_error">
    <k n="errorType" t="i"/>
    <k n="field" t="s"/>
    <k n="subType" t="i"/>
  </s>
  <s t="_error">
    <k n="errorType" t="i"/>
    <k n="propagated" t="b"/>
  </s>
</rvStructures>
</file>

<file path=xl/richData/rdsupportingpropertybag.xml><?xml version="1.0" encoding="utf-8"?>
<supportingPropertyBags xmlns="http://schemas.microsoft.com/office/spreadsheetml/2017/richdata2">
  <spbArrays count="4">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7">
      <v t="s">%EntityServiceId</v>
      <v t="s">_Format</v>
      <v t="s">%IsRefreshable</v>
      <v t="s">_CanonicalPropertyNames</v>
      <v t="s">%EntityCulture</v>
      <v t="s">%EntityId</v>
      <v t="s">_Icon</v>
      <v t="s">_Display</v>
      <v t="s">Nom</v>
      <v t="s">_SubLabel</v>
      <v t="s">Prix</v>
      <v t="s">Prix (horaires prolongés)</v>
      <v t="s">Change</v>
      <v t="s">Dernière heure d'échange</v>
      <v t="s">Code mnémonique</v>
      <v t="s">Abréviation de change</v>
      <v t="s">Modifier</v>
      <v t="s">Changement (horaires prolongés)</v>
      <v t="s">Taux de dépenses</v>
      <v t="s">Modification (%)</v>
      <v t="s">Changement en % (horaires prolongés)</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a count="46">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spbArrays>
  <spbData count="18">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Source: Nasdaq</v>
      <v xml:space="preserve">depuis la clôture précédente </v>
      <v>GMT</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1</v>
      <v>Name</v>
      <v>LearnMoreOnLink</v>
    </spb>
    <spb s="7">
      <v>1</v>
      <v>2</v>
      <v>3</v>
      <v>1</v>
      <v>1</v>
      <v>1</v>
      <v>4</v>
      <v>4</v>
      <v>1</v>
      <v>4</v>
      <v>5</v>
      <v>6</v>
      <v>1</v>
      <v>7</v>
      <v>4</v>
      <v>1</v>
      <v>1</v>
      <v>8</v>
      <v>9</v>
    </spb>
    <spb s="5">
      <v>En temps réel  Nasdaq Dernière vente</v>
      <v xml:space="preserve">depuis la clôture précédente </v>
      <v>Source: Nasdaq Dernière vente</v>
      <v xml:space="preserve">depuis la clôture précédente </v>
      <v>GMT</v>
    </spb>
    <spb s="8">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v>Price (Extended hours)</v>
      <v>Change (Extended hours)</v>
      <v>Change % (Extended hours)</v>
    </spb>
    <spb s="1">
      <v>2</v>
      <v>Name</v>
      <v>LearnMoreOnLink</v>
    </spb>
    <spb s="9">
      <v>2</v>
      <v>2</v>
      <v>2</v>
    </spb>
    <spb s="10">
      <v>10</v>
      <v>2</v>
      <v>3</v>
      <v>10</v>
      <v>10</v>
      <v>10</v>
      <v>4</v>
      <v>10</v>
      <v>5</v>
      <v>5</v>
      <v>6</v>
      <v>10</v>
      <v>10</v>
      <v>10</v>
      <v>11</v>
      <v>9</v>
      <v>10</v>
      <v>10</v>
      <v>5</v>
    </spb>
    <spb s="11">
      <v xml:space="preserve">à la clôture </v>
      <v xml:space="preserve">depuis la clôture précédente </v>
      <v xml:space="preserve">depuis la clôture précédente </v>
      <v>GMT</v>
      <v>Différé de 20 minutes</v>
      <v xml:space="preserve">depuis la clôture </v>
      <v xml:space="preserve">depuis la clôture </v>
    </spb>
    <spb s="12">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3</v>
      <v>Name</v>
      <v>LearnMoreOnLink</v>
    </spb>
    <spb s="13">
      <v>10</v>
      <v>2</v>
      <v>3</v>
      <v>3</v>
      <v>10</v>
      <v>10</v>
      <v>10</v>
      <v>4</v>
      <v>4</v>
      <v>10</v>
      <v>4</v>
      <v>5</v>
      <v>6</v>
      <v>10</v>
      <v>7</v>
      <v>4</v>
      <v>10</v>
      <v>10</v>
      <v>11</v>
      <v>9</v>
      <v>10</v>
      <v>10</v>
      <v>5</v>
    </spb>
  </spbData>
</supportingPropertyBags>
</file>

<file path=xl/richData/rdsupportingpropertybagstructure.xml><?xml version="1.0" encoding="utf-8"?>
<spbStructures xmlns="http://schemas.microsoft.com/office/spreadsheetml/2017/richdata2" count="14">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k n="Prix (horaires prolongés)" t="s"/>
    <k n="Changement (horaires prolongés)" t="s"/>
    <k n="Changement en % (horaires prolongés)"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k n="Prix (horaires prolongés)" t="i"/>
    <k n="Changement (horaires prolongés)" t="i"/>
    <k n="Changement en % (horaires prolongés)" t="i"/>
  </s>
  <s>
    <k n="Prix" t="s"/>
    <k n="Modifier" t="s"/>
    <k n="Modification (%)" t="s"/>
    <k n="Dernière heure d'échange" t="s"/>
    <k n="Prix (horaires prolongés)" t="s"/>
    <k n="Changement (horaires prolongés)" t="s"/>
    <k n="Changement en % (horaires prolongés)" t="s"/>
  </s>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 formatCode="0.00"/>
    </x:dxf>
    <x:dxf>
      <x:numFmt numFmtId="27" formatCode="yyyy/mm/dd\ h:mm"/>
    </x:dxf>
    <x:dxf>
      <x:numFmt numFmtId="1" formatCode="0"/>
    </x:dxf>
  </dxfs>
  <richProperties>
    <rPr n="NumberFormat" t="s"/>
    <rPr n="IsTitleField" t="b"/>
  </richProperties>
  <richStyles>
    <rSty dxfid="0">
      <rpv i="0">_([$$-en-US]* #,##0.00_);_([$$-en-US]* (#,##0.00);_([$$-en-US]* "-"??_);_(@_)</rpv>
    </rSty>
    <rSty>
      <rpv i="1">1</rpv>
    </rSty>
    <rSty dxfid="1">
      <rpv i="0">#,##0.00</rpv>
    </rSty>
    <rSty dxfid="2">
      <rpv i="0">#,##0</rpv>
    </rSty>
    <rSty dxfid="3"/>
    <rSty dxfid="4">
      <rpv i="0">0.00</rpv>
    </rSty>
    <rSty dxfid="6">
      <rpv i="0">0</rpv>
    </rSty>
    <rSty dxfid="0">
      <rpv i="0">_([$$-en-US]* #,##0_);_([$$-en-US]* (#,##0);_([$$-en-US]* "-"_);_(@_)</rpv>
    </rSty>
    <rSty dxfid="5"/>
    <rSty dxfid="0">
      <rpv i="0">_-[$$-en-CA]* #,##0.00_-;-[$$-en-CA]* #,##0.00_-;_-[$$-en-CA]* "-"??_-;_-@_-</rpv>
    </rSty>
    <rSty dxfid="0">
      <rpv i="0">_-[$$-en-CA]* #,##0_-;-[$$-en-CA]* #,##0_-;_-[$$-en-CA]*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7DDD-C786-4F02-A729-C31E6D261D5D}">
  <sheetPr codeName="Sheet3"/>
  <dimension ref="A1:V31"/>
  <sheetViews>
    <sheetView tabSelected="1" topLeftCell="A16" zoomScale="60" zoomScaleNormal="60" workbookViewId="0">
      <selection activeCell="V10" sqref="V10"/>
    </sheetView>
  </sheetViews>
  <sheetFormatPr defaultRowHeight="13.2" x14ac:dyDescent="0.25"/>
  <cols>
    <col min="1" max="1" width="45.3984375" style="3" bestFit="1" customWidth="1"/>
    <col min="2" max="2" width="11.5" style="3" bestFit="1" customWidth="1"/>
    <col min="3" max="3" width="11.09765625" style="3" bestFit="1" customWidth="1"/>
    <col min="4" max="4" width="13.5" style="3" bestFit="1" customWidth="1"/>
    <col min="5" max="5" width="16.69921875" style="3" bestFit="1" customWidth="1"/>
    <col min="6" max="6" width="17.69921875" style="3" bestFit="1" customWidth="1"/>
    <col min="7" max="7" width="8.796875" style="3"/>
    <col min="8" max="8" width="9.09765625" style="3" customWidth="1"/>
    <col min="9" max="9" width="11.5" style="3" customWidth="1"/>
    <col min="10" max="10" width="16.5" style="3" bestFit="1" customWidth="1"/>
    <col min="11" max="11" width="12.3984375" style="3" customWidth="1"/>
    <col min="12" max="12" width="14.69921875" style="3" customWidth="1"/>
    <col min="13" max="13" width="6.5" style="3" hidden="1" customWidth="1"/>
    <col min="14" max="14" width="9.3984375" style="3" bestFit="1" customWidth="1"/>
    <col min="15" max="16384" width="8.796875" style="3"/>
  </cols>
  <sheetData>
    <row r="1" spans="1:22" s="29" customFormat="1" ht="126.6" customHeight="1" x14ac:dyDescent="0.3">
      <c r="B1" s="29" t="s">
        <v>28</v>
      </c>
      <c r="C1" s="31" t="s">
        <v>37</v>
      </c>
      <c r="D1" s="31" t="s">
        <v>38</v>
      </c>
      <c r="E1" s="31" t="s">
        <v>27</v>
      </c>
      <c r="F1" s="31" t="s">
        <v>26</v>
      </c>
      <c r="G1" s="31" t="s">
        <v>25</v>
      </c>
      <c r="H1" s="31" t="s">
        <v>24</v>
      </c>
      <c r="I1" s="30" t="s">
        <v>23</v>
      </c>
      <c r="J1" s="31" t="s">
        <v>22</v>
      </c>
      <c r="K1" s="30" t="s">
        <v>21</v>
      </c>
      <c r="L1" s="30" t="s">
        <v>20</v>
      </c>
      <c r="T1" s="37"/>
      <c r="U1" s="37"/>
      <c r="V1" s="37"/>
    </row>
    <row r="2" spans="1:22" ht="15.6" x14ac:dyDescent="0.3">
      <c r="A2" s="28" t="e" vm="1">
        <v>#VALUE!</v>
      </c>
      <c r="B2" s="25" cm="1">
        <f t="array" ref="B2">_FV(A2,"Prix")</f>
        <v>31.68</v>
      </c>
      <c r="C2" s="16">
        <v>150</v>
      </c>
      <c r="D2" s="16">
        <v>30</v>
      </c>
      <c r="E2" s="23">
        <v>0.65</v>
      </c>
      <c r="F2" s="15">
        <f t="shared" ref="F2:F21" si="0">1-E2</f>
        <v>0.35</v>
      </c>
      <c r="G2" s="15">
        <f t="shared" ref="G2:G21" si="1">(C2/B2)-1</f>
        <v>3.7348484848484853</v>
      </c>
      <c r="H2" s="15">
        <f t="shared" ref="H2:H21" si="2">1-(D2/B2)</f>
        <v>5.3030303030302983E-2</v>
      </c>
      <c r="I2" s="22">
        <v>0.14999999961213323</v>
      </c>
      <c r="J2" s="21">
        <f t="shared" ref="J2:J21" si="3">(E2/H2-F2/G2)</f>
        <v>12.16343088959723</v>
      </c>
      <c r="K2" s="20">
        <f t="shared" ref="K2:K21" si="4">((1+J2*G2)^E2*(1-J2*H2)^F2)</f>
        <v>8.4329078361973835</v>
      </c>
      <c r="L2" s="20">
        <f t="shared" ref="L2:L21" si="5">((1+G2)^E2*(1-H2)^F2)</f>
        <v>2.6956691260660657</v>
      </c>
      <c r="M2" s="3" t="str" cm="1">
        <f t="array" ref="M2">_FV(A2,"Code mnémonique",TRUE)</f>
        <v>FRG</v>
      </c>
      <c r="N2" s="36"/>
      <c r="O2" s="9"/>
      <c r="P2" s="4" t="s">
        <v>18</v>
      </c>
      <c r="T2" s="38"/>
      <c r="U2" s="39"/>
      <c r="V2" s="38"/>
    </row>
    <row r="3" spans="1:22" ht="15.6" x14ac:dyDescent="0.3">
      <c r="A3" s="27" t="e" vm="2">
        <v>#VALUE!</v>
      </c>
      <c r="B3" s="25" cm="1">
        <f t="array" ref="B3">_FV(A3,"Prix")</f>
        <v>79.5</v>
      </c>
      <c r="C3" s="16">
        <v>250</v>
      </c>
      <c r="D3" s="16">
        <v>85</v>
      </c>
      <c r="E3" s="23">
        <v>0.7</v>
      </c>
      <c r="F3" s="15">
        <f t="shared" si="0"/>
        <v>0.30000000000000004</v>
      </c>
      <c r="G3" s="15">
        <f t="shared" si="1"/>
        <v>2.1446540880503147</v>
      </c>
      <c r="H3" s="15">
        <f t="shared" si="2"/>
        <v>-6.9182389937106903E-2</v>
      </c>
      <c r="I3" s="22">
        <v>0.14993558833594162</v>
      </c>
      <c r="J3" s="21">
        <f t="shared" si="3"/>
        <v>-10.258064516129034</v>
      </c>
      <c r="K3" s="20" t="e">
        <f t="shared" si="4"/>
        <v>#NUM!</v>
      </c>
      <c r="L3" s="20">
        <f t="shared" si="5"/>
        <v>2.2751841582097669</v>
      </c>
      <c r="M3" s="3" t="str" cm="1">
        <f t="array" ref="M3">_FV(A3,"Code mnémonique",TRUE)</f>
        <v>ATKR</v>
      </c>
      <c r="O3" s="8"/>
      <c r="P3" s="4" t="s">
        <v>17</v>
      </c>
      <c r="T3" s="38"/>
      <c r="U3" s="39"/>
      <c r="V3" s="38"/>
    </row>
    <row r="4" spans="1:22" ht="15.6" x14ac:dyDescent="0.3">
      <c r="A4" s="27" t="e" vm="3">
        <v>#VALUE!</v>
      </c>
      <c r="B4" s="25" cm="1">
        <f t="array" ref="B4">_FV(A4,"Prix")</f>
        <v>26.48</v>
      </c>
      <c r="C4" s="16">
        <v>77</v>
      </c>
      <c r="D4" s="16">
        <v>25</v>
      </c>
      <c r="E4" s="23">
        <v>0.65</v>
      </c>
      <c r="F4" s="15">
        <f t="shared" si="0"/>
        <v>0.35</v>
      </c>
      <c r="G4" s="15">
        <f t="shared" si="1"/>
        <v>1.9078549848942599</v>
      </c>
      <c r="H4" s="15">
        <f t="shared" si="2"/>
        <v>5.5891238670694898E-2</v>
      </c>
      <c r="I4" s="22">
        <v>6.7160210613693427E-2</v>
      </c>
      <c r="J4" s="21">
        <f t="shared" si="3"/>
        <v>11.446277631550783</v>
      </c>
      <c r="K4" s="20">
        <f t="shared" si="4"/>
        <v>5.3448873494142841</v>
      </c>
      <c r="L4" s="20">
        <f t="shared" si="5"/>
        <v>1.9614624281656756</v>
      </c>
      <c r="M4" s="3" t="str" cm="1">
        <f t="array" ref="M4">_FV(A4,"Code mnémonique",TRUE)</f>
        <v>VTOL</v>
      </c>
      <c r="O4" s="7"/>
      <c r="P4" s="4" t="s">
        <v>16</v>
      </c>
      <c r="T4" s="38"/>
      <c r="U4" s="39"/>
      <c r="V4" s="38"/>
    </row>
    <row r="5" spans="1:22" ht="15.6" x14ac:dyDescent="0.3">
      <c r="A5" s="27" t="e" vm="4">
        <v>#VALUE!</v>
      </c>
      <c r="B5" s="25" cm="1">
        <f t="array" ref="B5">_FV(A5,"Prix")</f>
        <v>6.78</v>
      </c>
      <c r="C5" s="16">
        <v>21</v>
      </c>
      <c r="D5" s="16">
        <v>5</v>
      </c>
      <c r="E5" s="23">
        <v>0.65</v>
      </c>
      <c r="F5" s="15">
        <f t="shared" si="0"/>
        <v>0.35</v>
      </c>
      <c r="G5" s="15">
        <f t="shared" si="1"/>
        <v>2.0973451327433628</v>
      </c>
      <c r="H5" s="15">
        <f t="shared" si="2"/>
        <v>0.26253687315634222</v>
      </c>
      <c r="I5" s="22">
        <v>5.5471214146362302E-2</v>
      </c>
      <c r="J5" s="21">
        <f t="shared" si="3"/>
        <v>2.3089650594984112</v>
      </c>
      <c r="K5" s="20">
        <f t="shared" si="4"/>
        <v>2.2732626671580256</v>
      </c>
      <c r="L5" s="20">
        <f t="shared" si="5"/>
        <v>1.8743571586566372</v>
      </c>
      <c r="M5" s="3" t="str" cm="1">
        <f t="array" ref="M5">_FV(A5,"Code mnémonique",TRUE)</f>
        <v>LILAK</v>
      </c>
      <c r="O5" s="6"/>
      <c r="P5" s="4" t="s">
        <v>34</v>
      </c>
      <c r="T5" s="38"/>
      <c r="U5" s="39"/>
      <c r="V5" s="38"/>
    </row>
    <row r="6" spans="1:22" ht="15.6" x14ac:dyDescent="0.3">
      <c r="A6" s="27" t="e" vm="5">
        <v>#VALUE!</v>
      </c>
      <c r="B6" s="25" cm="1">
        <f t="array" ref="B6">_FV(A6,"Prix")</f>
        <v>12.74</v>
      </c>
      <c r="C6" s="16">
        <v>50</v>
      </c>
      <c r="D6" s="16">
        <v>8</v>
      </c>
      <c r="E6" s="23">
        <v>0.6</v>
      </c>
      <c r="F6" s="15">
        <f t="shared" si="0"/>
        <v>0.4</v>
      </c>
      <c r="G6" s="15">
        <f t="shared" si="1"/>
        <v>2.9246467817896389</v>
      </c>
      <c r="H6" s="15">
        <f t="shared" si="2"/>
        <v>0.37205651491365777</v>
      </c>
      <c r="I6" s="22">
        <v>0.11233948383205865</v>
      </c>
      <c r="J6" s="21">
        <f t="shared" si="3"/>
        <v>1.4758895751374195</v>
      </c>
      <c r="K6" s="20">
        <f t="shared" si="4"/>
        <v>1.9815265327245744</v>
      </c>
      <c r="L6" s="20">
        <f t="shared" si="5"/>
        <v>1.8855956577416502</v>
      </c>
      <c r="M6" s="3" t="str" cm="1">
        <f t="array" ref="M6">_FV(A6,"Code mnémonique",TRUE)</f>
        <v>WBD</v>
      </c>
      <c r="O6" s="5"/>
      <c r="P6" s="4" t="s">
        <v>15</v>
      </c>
      <c r="T6" s="38"/>
      <c r="U6" s="39"/>
      <c r="V6" s="38"/>
    </row>
    <row r="7" spans="1:22" ht="15.6" x14ac:dyDescent="0.3">
      <c r="A7" s="27" t="e" vm="6">
        <v>#VALUE!</v>
      </c>
      <c r="B7" s="25" cm="1">
        <f t="array" ref="B7">_FV(A7,"Prix")</f>
        <v>190.86</v>
      </c>
      <c r="C7" s="16">
        <v>500</v>
      </c>
      <c r="D7" s="16">
        <v>170</v>
      </c>
      <c r="E7" s="23">
        <v>0.7</v>
      </c>
      <c r="F7" s="15">
        <f t="shared" si="0"/>
        <v>0.30000000000000004</v>
      </c>
      <c r="G7" s="15">
        <f t="shared" si="1"/>
        <v>1.6197212616577596</v>
      </c>
      <c r="H7" s="15">
        <f t="shared" si="2"/>
        <v>0.10929477103636176</v>
      </c>
      <c r="I7" s="22">
        <v>9.1560238069288577E-2</v>
      </c>
      <c r="J7" s="21">
        <f t="shared" si="3"/>
        <v>6.219480932815129</v>
      </c>
      <c r="K7" s="20">
        <f t="shared" si="4"/>
        <v>3.8251843534120851</v>
      </c>
      <c r="L7" s="20">
        <f t="shared" si="5"/>
        <v>1.8953907636767939</v>
      </c>
      <c r="M7" s="3" t="str" cm="1">
        <f t="array" ref="M7">_FV(A7,"Code mnémonique",TRUE)</f>
        <v>NXST</v>
      </c>
      <c r="T7" s="38"/>
      <c r="U7" s="39"/>
      <c r="V7" s="38"/>
    </row>
    <row r="8" spans="1:22" ht="15.6" x14ac:dyDescent="0.3">
      <c r="A8" s="27" t="e" vm="7">
        <v>#VALUE!</v>
      </c>
      <c r="B8" s="25" cm="1">
        <f t="array" ref="B8">_FV(A8,"Prix")</f>
        <v>8.99</v>
      </c>
      <c r="C8" s="16">
        <v>25</v>
      </c>
      <c r="D8" s="16">
        <v>6</v>
      </c>
      <c r="E8" s="23">
        <v>0.6</v>
      </c>
      <c r="F8" s="15">
        <f t="shared" si="0"/>
        <v>0.4</v>
      </c>
      <c r="G8" s="15">
        <f t="shared" si="1"/>
        <v>1.7808676307007785</v>
      </c>
      <c r="H8" s="15">
        <f t="shared" si="2"/>
        <v>0.33259176863181317</v>
      </c>
      <c r="I8" s="22">
        <v>1.4050634653770249E-2</v>
      </c>
      <c r="J8" s="21">
        <f t="shared" si="3"/>
        <v>1.5794037589382888</v>
      </c>
      <c r="K8" s="20">
        <f t="shared" si="4"/>
        <v>1.6569488499745573</v>
      </c>
      <c r="L8" s="20">
        <f t="shared" si="5"/>
        <v>1.571320634312996</v>
      </c>
      <c r="M8" s="3" t="str" cm="1">
        <f t="array" ref="M8">_FV(A8,"Code mnémonique",TRUE)</f>
        <v>HROW</v>
      </c>
      <c r="T8" s="38"/>
      <c r="U8" s="39"/>
      <c r="V8" s="38"/>
    </row>
    <row r="9" spans="1:22" ht="15.6" x14ac:dyDescent="0.3">
      <c r="A9" s="27" t="e" vm="8">
        <v>#VALUE!</v>
      </c>
      <c r="B9" s="25" cm="1">
        <f t="array" ref="B9">_FV(A9,"Prix")</f>
        <v>6.4850000000000003</v>
      </c>
      <c r="C9" s="16">
        <v>20</v>
      </c>
      <c r="D9" s="16">
        <v>4.5</v>
      </c>
      <c r="E9" s="23">
        <v>0.7</v>
      </c>
      <c r="F9" s="15">
        <f t="shared" si="0"/>
        <v>0.30000000000000004</v>
      </c>
      <c r="G9" s="15">
        <f t="shared" si="1"/>
        <v>2.0840400925212026</v>
      </c>
      <c r="H9" s="15">
        <f t="shared" si="2"/>
        <v>0.30609097918272943</v>
      </c>
      <c r="I9" s="22">
        <v>3.6923361184150676E-2</v>
      </c>
      <c r="J9" s="21">
        <f t="shared" si="3"/>
        <v>2.142950597852372</v>
      </c>
      <c r="K9" s="20">
        <f t="shared" si="4"/>
        <v>2.3842924843218882</v>
      </c>
      <c r="L9" s="20">
        <f t="shared" si="5"/>
        <v>1.9714000837905481</v>
      </c>
      <c r="M9" s="3" t="str" cm="1">
        <f t="array" ref="M9">_FV(A9,"Code mnémonique",TRUE)</f>
        <v>PL</v>
      </c>
      <c r="T9" s="38"/>
      <c r="U9" s="39"/>
      <c r="V9" s="38"/>
    </row>
    <row r="10" spans="1:22" ht="15.6" x14ac:dyDescent="0.3">
      <c r="A10" s="27" t="e" vm="9">
        <v>#VALUE!</v>
      </c>
      <c r="B10" s="25" cm="1">
        <f t="array" ref="B10">_FV(A10,"Prix")</f>
        <v>274.81</v>
      </c>
      <c r="C10" s="16">
        <f>362</f>
        <v>362</v>
      </c>
      <c r="D10" s="16">
        <v>250</v>
      </c>
      <c r="E10" s="23">
        <v>0.65</v>
      </c>
      <c r="F10" s="15">
        <f t="shared" si="0"/>
        <v>0.35</v>
      </c>
      <c r="G10" s="15">
        <f t="shared" si="1"/>
        <v>0.31727375277464431</v>
      </c>
      <c r="H10" s="15">
        <f t="shared" si="2"/>
        <v>9.0280557476074441E-2</v>
      </c>
      <c r="I10" s="22">
        <v>1.2771869140636256E-4</v>
      </c>
      <c r="J10" s="21">
        <f t="shared" si="3"/>
        <v>6.0966300183724504</v>
      </c>
      <c r="K10" s="20">
        <f t="shared" si="4"/>
        <v>1.5218252515721304</v>
      </c>
      <c r="L10" s="20">
        <f t="shared" si="5"/>
        <v>1.1571963143594088</v>
      </c>
      <c r="M10" s="3" t="str" cm="1">
        <f t="array" ref="M10">_FV(A10,"Code mnémonique",TRUE)</f>
        <v>BRK.B</v>
      </c>
      <c r="T10" s="38"/>
      <c r="U10" s="39"/>
      <c r="V10" s="38"/>
    </row>
    <row r="11" spans="1:22" ht="15.6" x14ac:dyDescent="0.3">
      <c r="A11" s="27" t="e" vm="10">
        <v>#VALUE!</v>
      </c>
      <c r="B11" s="25" cm="1">
        <f t="array" ref="B11">_FV(A11,"Prix")</f>
        <v>3.71</v>
      </c>
      <c r="C11" s="16">
        <v>8</v>
      </c>
      <c r="D11" s="16">
        <v>3.74</v>
      </c>
      <c r="E11" s="23">
        <v>0.65</v>
      </c>
      <c r="F11" s="15">
        <f t="shared" si="0"/>
        <v>0.35</v>
      </c>
      <c r="G11" s="15">
        <f t="shared" si="1"/>
        <v>1.1563342318059298</v>
      </c>
      <c r="H11" s="15">
        <f t="shared" si="2"/>
        <v>-8.0862533692722671E-3</v>
      </c>
      <c r="I11" s="22">
        <v>7.2620689923782783E-5</v>
      </c>
      <c r="J11" s="21">
        <f t="shared" si="3"/>
        <v>-80.686013986013691</v>
      </c>
      <c r="K11" s="20" t="e">
        <f t="shared" si="4"/>
        <v>#NUM!</v>
      </c>
      <c r="L11" s="20">
        <f t="shared" si="5"/>
        <v>1.652493054107782</v>
      </c>
      <c r="M11" s="3" t="str" cm="1">
        <f t="array" ref="M11">_FV(A11,"Code mnémonique",TRUE)</f>
        <v>RDI</v>
      </c>
      <c r="T11" s="38"/>
      <c r="U11" s="39"/>
      <c r="V11" s="38"/>
    </row>
    <row r="12" spans="1:22" ht="15.6" x14ac:dyDescent="0.3">
      <c r="A12" s="27" t="e" vm="11">
        <v>#VALUE!</v>
      </c>
      <c r="B12" s="25" cm="1">
        <f t="array" ref="B12">_FV(A12,"Prix")</f>
        <v>31.03</v>
      </c>
      <c r="C12" s="16">
        <v>36</v>
      </c>
      <c r="D12" s="16">
        <v>26</v>
      </c>
      <c r="E12" s="23">
        <v>0.65</v>
      </c>
      <c r="F12" s="15">
        <f t="shared" si="0"/>
        <v>0.35</v>
      </c>
      <c r="G12" s="15">
        <f t="shared" si="1"/>
        <v>0.16016757976152096</v>
      </c>
      <c r="H12" s="15">
        <f t="shared" si="2"/>
        <v>0.16210119239445697</v>
      </c>
      <c r="I12" s="22">
        <v>1.3056644663995322E-4</v>
      </c>
      <c r="J12" s="21">
        <f t="shared" si="3"/>
        <v>1.8246296866687186</v>
      </c>
      <c r="K12" s="20">
        <f t="shared" si="4"/>
        <v>1.0448972134549139</v>
      </c>
      <c r="L12" s="20">
        <f t="shared" si="5"/>
        <v>1.0352745112834358</v>
      </c>
      <c r="M12" s="3" t="str" cm="1">
        <f t="array" ref="M12">_FV(A12,"Code mnémonique",TRUE)</f>
        <v>XIC</v>
      </c>
      <c r="T12" s="38"/>
      <c r="U12" s="39"/>
      <c r="V12" s="38"/>
    </row>
    <row r="13" spans="1:22" ht="15.6" x14ac:dyDescent="0.3">
      <c r="A13" s="27" t="e" vm="12">
        <v>#VALUE!</v>
      </c>
      <c r="B13" s="25" cm="1">
        <f t="array" ref="B13">_FV(A13,"Prix")</f>
        <v>5.09</v>
      </c>
      <c r="C13" s="24">
        <v>12</v>
      </c>
      <c r="D13" s="8">
        <v>4</v>
      </c>
      <c r="E13" s="23">
        <v>0.7</v>
      </c>
      <c r="F13" s="15">
        <f t="shared" si="0"/>
        <v>0.30000000000000004</v>
      </c>
      <c r="G13" s="15">
        <f t="shared" si="1"/>
        <v>1.3575638506876229</v>
      </c>
      <c r="H13" s="15">
        <f t="shared" si="2"/>
        <v>0.21414538310412568</v>
      </c>
      <c r="I13" s="22">
        <v>2.222836883775484E-2</v>
      </c>
      <c r="J13" s="21">
        <f t="shared" si="3"/>
        <v>3.0478232584075737</v>
      </c>
      <c r="K13" s="20">
        <f t="shared" si="4"/>
        <v>2.2895652695551987</v>
      </c>
      <c r="L13" s="20">
        <f t="shared" si="5"/>
        <v>1.6956143654024307</v>
      </c>
      <c r="M13" s="3" t="str" cm="1">
        <f t="array" ref="M13">_FV(A13,"Code mnémonique",TRUE)</f>
        <v>ECN</v>
      </c>
      <c r="T13" s="38"/>
      <c r="U13" s="39"/>
      <c r="V13" s="38"/>
    </row>
    <row r="14" spans="1:22" ht="15.6" x14ac:dyDescent="0.3">
      <c r="A14" s="27"/>
      <c r="B14" s="25" t="e" cm="1" vm="13">
        <f t="array" ref="B14">_FV(A14,"Prix")</f>
        <v>#VALUE!</v>
      </c>
      <c r="C14" s="24"/>
      <c r="D14" s="8"/>
      <c r="E14" s="23"/>
      <c r="F14" s="15">
        <f t="shared" si="0"/>
        <v>1</v>
      </c>
      <c r="G14" s="15" t="e" vm="14">
        <f t="shared" si="1"/>
        <v>#VALUE!</v>
      </c>
      <c r="H14" s="15" t="e" vm="14">
        <f t="shared" si="2"/>
        <v>#VALUE!</v>
      </c>
      <c r="I14" s="22"/>
      <c r="J14" s="21" t="e" vm="14">
        <f t="shared" si="3"/>
        <v>#VALUE!</v>
      </c>
      <c r="K14" s="20" t="e" vm="14">
        <f t="shared" si="4"/>
        <v>#VALUE!</v>
      </c>
      <c r="L14" s="20" t="e" vm="14">
        <f t="shared" si="5"/>
        <v>#VALUE!</v>
      </c>
      <c r="M14" s="3" t="e" cm="1" vm="15">
        <f t="array" ref="M14">_FV(A14,"Code mnémonique",TRUE)</f>
        <v>#VALUE!</v>
      </c>
      <c r="T14" s="38"/>
      <c r="U14" s="38"/>
      <c r="V14" s="38"/>
    </row>
    <row r="15" spans="1:22" ht="15.6" x14ac:dyDescent="0.3">
      <c r="A15" s="27"/>
      <c r="B15" s="25" t="e" cm="1" vm="13">
        <f t="array" ref="B15">_FV(A15,"Prix")</f>
        <v>#VALUE!</v>
      </c>
      <c r="C15" s="24"/>
      <c r="D15" s="8"/>
      <c r="E15" s="23"/>
      <c r="F15" s="15">
        <f t="shared" si="0"/>
        <v>1</v>
      </c>
      <c r="G15" s="15" t="e" vm="14">
        <f t="shared" si="1"/>
        <v>#VALUE!</v>
      </c>
      <c r="H15" s="15" t="e" vm="14">
        <f t="shared" si="2"/>
        <v>#VALUE!</v>
      </c>
      <c r="I15" s="22"/>
      <c r="J15" s="21" t="e" vm="14">
        <f t="shared" si="3"/>
        <v>#VALUE!</v>
      </c>
      <c r="K15" s="20" t="e" vm="14">
        <f t="shared" si="4"/>
        <v>#VALUE!</v>
      </c>
      <c r="L15" s="20" t="e" vm="14">
        <f t="shared" si="5"/>
        <v>#VALUE!</v>
      </c>
      <c r="M15" s="3" t="e" cm="1" vm="15">
        <f t="array" ref="M15">_FV(A15,"Code mnémonique",TRUE)</f>
        <v>#VALUE!</v>
      </c>
      <c r="T15" s="38"/>
      <c r="U15" s="38"/>
      <c r="V15" s="38"/>
    </row>
    <row r="16" spans="1:22" ht="15.6" x14ac:dyDescent="0.3">
      <c r="A16" s="27"/>
      <c r="B16" s="25" t="e" cm="1" vm="13">
        <f t="array" ref="B16">_FV(A16,"Prix")</f>
        <v>#VALUE!</v>
      </c>
      <c r="C16" s="24"/>
      <c r="D16" s="8"/>
      <c r="E16" s="23"/>
      <c r="F16" s="15">
        <f t="shared" si="0"/>
        <v>1</v>
      </c>
      <c r="G16" s="15" t="e" vm="14">
        <f t="shared" si="1"/>
        <v>#VALUE!</v>
      </c>
      <c r="H16" s="15" t="e" vm="14">
        <f t="shared" si="2"/>
        <v>#VALUE!</v>
      </c>
      <c r="I16" s="22"/>
      <c r="J16" s="21" t="e" vm="14">
        <f t="shared" si="3"/>
        <v>#VALUE!</v>
      </c>
      <c r="K16" s="20" t="e" vm="14">
        <f t="shared" si="4"/>
        <v>#VALUE!</v>
      </c>
      <c r="L16" s="20" t="e" vm="14">
        <f t="shared" si="5"/>
        <v>#VALUE!</v>
      </c>
      <c r="M16" s="3" t="e" cm="1" vm="15">
        <f t="array" ref="M16">_FV(A16,"Code mnémonique",TRUE)</f>
        <v>#VALUE!</v>
      </c>
      <c r="T16" s="38"/>
      <c r="U16" s="38"/>
      <c r="V16" s="38"/>
    </row>
    <row r="17" spans="1:22" ht="15.6" x14ac:dyDescent="0.3">
      <c r="A17" s="27"/>
      <c r="B17" s="25" t="e" cm="1" vm="13">
        <f t="array" ref="B17">_FV(A17,"Prix")</f>
        <v>#VALUE!</v>
      </c>
      <c r="C17" s="24"/>
      <c r="D17" s="8"/>
      <c r="E17" s="23"/>
      <c r="F17" s="15">
        <f t="shared" si="0"/>
        <v>1</v>
      </c>
      <c r="G17" s="15" t="e" vm="14">
        <f t="shared" si="1"/>
        <v>#VALUE!</v>
      </c>
      <c r="H17" s="15" t="e" vm="14">
        <f t="shared" si="2"/>
        <v>#VALUE!</v>
      </c>
      <c r="I17" s="22"/>
      <c r="J17" s="21" t="e" vm="14">
        <f t="shared" si="3"/>
        <v>#VALUE!</v>
      </c>
      <c r="K17" s="20" t="e" vm="14">
        <f t="shared" si="4"/>
        <v>#VALUE!</v>
      </c>
      <c r="L17" s="20" t="e" vm="14">
        <f t="shared" si="5"/>
        <v>#VALUE!</v>
      </c>
      <c r="M17" s="3" t="e" cm="1" vm="15">
        <f t="array" ref="M17">_FV(A17,"Code mnémonique",TRUE)</f>
        <v>#VALUE!</v>
      </c>
      <c r="T17" s="38"/>
      <c r="U17" s="38"/>
      <c r="V17" s="38"/>
    </row>
    <row r="18" spans="1:22" ht="15.6" x14ac:dyDescent="0.3">
      <c r="A18" s="27"/>
      <c r="B18" s="25" t="e" cm="1" vm="13">
        <f t="array" ref="B18">_FV(A18,"Prix")</f>
        <v>#VALUE!</v>
      </c>
      <c r="C18" s="24"/>
      <c r="D18" s="8"/>
      <c r="E18" s="23"/>
      <c r="F18" s="15">
        <f t="shared" si="0"/>
        <v>1</v>
      </c>
      <c r="G18" s="15" t="e" vm="14">
        <f t="shared" si="1"/>
        <v>#VALUE!</v>
      </c>
      <c r="H18" s="15" t="e" vm="14">
        <f t="shared" si="2"/>
        <v>#VALUE!</v>
      </c>
      <c r="I18" s="22"/>
      <c r="J18" s="21" t="e" vm="14">
        <f t="shared" si="3"/>
        <v>#VALUE!</v>
      </c>
      <c r="K18" s="20" t="e" vm="14">
        <f t="shared" si="4"/>
        <v>#VALUE!</v>
      </c>
      <c r="L18" s="20" t="e" vm="14">
        <f t="shared" si="5"/>
        <v>#VALUE!</v>
      </c>
      <c r="M18" s="3" t="e" cm="1" vm="15">
        <f t="array" ref="M18">_FV(A18,"Code mnémonique",TRUE)</f>
        <v>#VALUE!</v>
      </c>
      <c r="T18" s="38"/>
      <c r="U18" s="38"/>
      <c r="V18" s="38"/>
    </row>
    <row r="19" spans="1:22" ht="15.6" x14ac:dyDescent="0.3">
      <c r="A19" s="27"/>
      <c r="B19" s="25" t="e" cm="1" vm="13">
        <f t="array" ref="B19">_FV(A19,"Prix")</f>
        <v>#VALUE!</v>
      </c>
      <c r="C19" s="24"/>
      <c r="D19" s="8"/>
      <c r="E19" s="23"/>
      <c r="F19" s="15">
        <f t="shared" si="0"/>
        <v>1</v>
      </c>
      <c r="G19" s="15" t="e" vm="14">
        <f t="shared" si="1"/>
        <v>#VALUE!</v>
      </c>
      <c r="H19" s="15" t="e" vm="14">
        <f t="shared" si="2"/>
        <v>#VALUE!</v>
      </c>
      <c r="I19" s="22"/>
      <c r="J19" s="21" t="e" vm="14">
        <f t="shared" si="3"/>
        <v>#VALUE!</v>
      </c>
      <c r="K19" s="20" t="e" vm="14">
        <f t="shared" si="4"/>
        <v>#VALUE!</v>
      </c>
      <c r="L19" s="20" t="e" vm="14">
        <f t="shared" si="5"/>
        <v>#VALUE!</v>
      </c>
      <c r="M19" s="3" t="e" cm="1" vm="15">
        <f t="array" ref="M19">_FV(A19,"Code mnémonique",TRUE)</f>
        <v>#VALUE!</v>
      </c>
      <c r="T19" s="38"/>
      <c r="U19" s="38"/>
      <c r="V19" s="38"/>
    </row>
    <row r="20" spans="1:22" ht="15.6" x14ac:dyDescent="0.3">
      <c r="A20" s="27"/>
      <c r="B20" s="25" t="e" cm="1" vm="13">
        <f t="array" ref="B20">_FV(A20,"Prix")</f>
        <v>#VALUE!</v>
      </c>
      <c r="C20" s="24"/>
      <c r="D20" s="8"/>
      <c r="E20" s="23"/>
      <c r="F20" s="15">
        <f t="shared" si="0"/>
        <v>1</v>
      </c>
      <c r="G20" s="15" t="e" vm="14">
        <f t="shared" si="1"/>
        <v>#VALUE!</v>
      </c>
      <c r="H20" s="15" t="e" vm="14">
        <f t="shared" si="2"/>
        <v>#VALUE!</v>
      </c>
      <c r="I20" s="22"/>
      <c r="J20" s="21" t="e" vm="14">
        <f t="shared" si="3"/>
        <v>#VALUE!</v>
      </c>
      <c r="K20" s="20" t="e" vm="14">
        <f t="shared" si="4"/>
        <v>#VALUE!</v>
      </c>
      <c r="L20" s="20" t="e" vm="14">
        <f t="shared" si="5"/>
        <v>#VALUE!</v>
      </c>
      <c r="M20" s="3" t="e" cm="1" vm="15">
        <f t="array" ref="M20">_FV(A20,"Code mnémonique",TRUE)</f>
        <v>#VALUE!</v>
      </c>
      <c r="T20" s="38"/>
      <c r="U20" s="38"/>
      <c r="V20" s="38"/>
    </row>
    <row r="21" spans="1:22" ht="15.6" x14ac:dyDescent="0.3">
      <c r="A21" s="26"/>
      <c r="B21" s="25" t="e" cm="1" vm="13">
        <f t="array" ref="B21">_FV(A21,"Prix")</f>
        <v>#VALUE!</v>
      </c>
      <c r="C21" s="24"/>
      <c r="D21" s="8"/>
      <c r="E21" s="23"/>
      <c r="F21" s="15">
        <f t="shared" si="0"/>
        <v>1</v>
      </c>
      <c r="G21" s="15" t="e" vm="14">
        <f t="shared" si="1"/>
        <v>#VALUE!</v>
      </c>
      <c r="H21" s="15" t="e" vm="14">
        <f t="shared" si="2"/>
        <v>#VALUE!</v>
      </c>
      <c r="I21" s="22"/>
      <c r="J21" s="21" t="e" vm="14">
        <f t="shared" si="3"/>
        <v>#VALUE!</v>
      </c>
      <c r="K21" s="20" t="e" vm="14">
        <f t="shared" si="4"/>
        <v>#VALUE!</v>
      </c>
      <c r="L21" s="20" t="e" vm="14">
        <f t="shared" si="5"/>
        <v>#VALUE!</v>
      </c>
      <c r="M21" s="3" t="e" cm="1" vm="15">
        <f t="array" ref="M21">_FV(A21,"Code mnémonique",TRUE)</f>
        <v>#VALUE!</v>
      </c>
      <c r="T21" s="38"/>
      <c r="U21" s="38"/>
      <c r="V21" s="38"/>
    </row>
    <row r="22" spans="1:22" x14ac:dyDescent="0.25">
      <c r="I22" s="19"/>
      <c r="J22" s="19"/>
      <c r="K22" s="18"/>
      <c r="L22" s="11"/>
    </row>
    <row r="23" spans="1:22" ht="15.6" x14ac:dyDescent="0.3">
      <c r="A23" s="32" t="s">
        <v>30</v>
      </c>
      <c r="B23" s="33">
        <f>COUNT(B2:B21)</f>
        <v>12</v>
      </c>
      <c r="L23" s="11"/>
    </row>
    <row r="24" spans="1:22" ht="15.6" x14ac:dyDescent="0.3">
      <c r="A24" s="32" t="s">
        <v>31</v>
      </c>
      <c r="B24" s="8">
        <v>2</v>
      </c>
      <c r="L24" s="11"/>
    </row>
    <row r="25" spans="1:22" ht="15.6" x14ac:dyDescent="0.3">
      <c r="A25" s="32" t="s">
        <v>35</v>
      </c>
      <c r="B25" s="34">
        <v>1.0724159997905183</v>
      </c>
      <c r="G25" s="13"/>
      <c r="L25" s="11"/>
    </row>
    <row r="26" spans="1:22" ht="15.6" x14ac:dyDescent="0.3">
      <c r="A26" s="32" t="s">
        <v>36</v>
      </c>
      <c r="B26" s="35">
        <v>9.4154024161654068E-2</v>
      </c>
      <c r="G26" s="13"/>
      <c r="L26" s="11"/>
    </row>
    <row r="27" spans="1:22" ht="15.6" x14ac:dyDescent="0.3">
      <c r="A27" s="32" t="s">
        <v>29</v>
      </c>
      <c r="B27" s="16">
        <v>8</v>
      </c>
      <c r="G27" s="13"/>
      <c r="L27" s="11"/>
    </row>
    <row r="28" spans="1:22" ht="15.6" x14ac:dyDescent="0.3">
      <c r="A28" s="32" t="s">
        <v>32</v>
      </c>
      <c r="B28" s="23">
        <v>0.7</v>
      </c>
      <c r="G28" s="13"/>
      <c r="L28" s="11"/>
    </row>
    <row r="29" spans="1:22" ht="15.6" x14ac:dyDescent="0.3">
      <c r="A29" s="32" t="s">
        <v>33</v>
      </c>
      <c r="B29" s="14">
        <v>0.15</v>
      </c>
      <c r="G29" s="13"/>
      <c r="L29" s="11"/>
    </row>
    <row r="30" spans="1:22" ht="15.6" x14ac:dyDescent="0.3">
      <c r="A30" s="32" t="s">
        <v>19</v>
      </c>
      <c r="B30" s="17">
        <v>1</v>
      </c>
      <c r="H30" s="12"/>
      <c r="L30" s="11"/>
    </row>
    <row r="31" spans="1:22" x14ac:dyDescent="0.25">
      <c r="J31" s="10"/>
    </row>
  </sheetData>
  <conditionalFormatting sqref="G2:G21">
    <cfRule type="dataBar" priority="6">
      <dataBar>
        <cfvo type="min"/>
        <cfvo type="max"/>
        <color rgb="FF638EC6"/>
      </dataBar>
      <extLst>
        <ext xmlns:x14="http://schemas.microsoft.com/office/spreadsheetml/2009/9/main" uri="{B025F937-C7B1-47D3-B67F-A62EFF666E3E}">
          <x14:id>{59298E7C-FC97-4D20-856E-08244CBDBCE9}</x14:id>
        </ext>
      </extLst>
    </cfRule>
  </conditionalFormatting>
  <conditionalFormatting sqref="H2:H21">
    <cfRule type="dataBar" priority="3">
      <dataBar>
        <cfvo type="min"/>
        <cfvo type="max"/>
        <color rgb="FF638EC6"/>
      </dataBar>
      <extLst>
        <ext xmlns:x14="http://schemas.microsoft.com/office/spreadsheetml/2009/9/main" uri="{B025F937-C7B1-47D3-B67F-A62EFF666E3E}">
          <x14:id>{27BB4B75-E78D-4BC2-BF4F-6080994B4ED1}</x14:id>
        </ext>
      </extLst>
    </cfRule>
    <cfRule type="dataBar" priority="4">
      <dataBar>
        <cfvo type="min"/>
        <cfvo type="max"/>
        <color rgb="FF638EC6"/>
      </dataBar>
      <extLst>
        <ext xmlns:x14="http://schemas.microsoft.com/office/spreadsheetml/2009/9/main" uri="{B025F937-C7B1-47D3-B67F-A62EFF666E3E}">
          <x14:id>{70F0FF23-F582-4484-8E6F-A4BCB2A411A5}</x14:id>
        </ext>
      </extLst>
    </cfRule>
  </conditionalFormatting>
  <conditionalFormatting sqref="I2:I21">
    <cfRule type="dataBar" priority="2">
      <dataBar>
        <cfvo type="min"/>
        <cfvo type="max"/>
        <color rgb="FF638EC6"/>
      </dataBar>
      <extLst>
        <ext xmlns:x14="http://schemas.microsoft.com/office/spreadsheetml/2009/9/main" uri="{B025F937-C7B1-47D3-B67F-A62EFF666E3E}">
          <x14:id>{1BE44D09-5C20-474F-873C-5BCA41598B65}</x14:id>
        </ext>
      </extLst>
    </cfRule>
  </conditionalFormatting>
  <pageMargins left="0.7" right="0.7" top="0.75" bottom="0.75" header="0.3" footer="0.3"/>
  <pageSetup orientation="portrait" r:id="rId1"/>
  <ignoredErrors>
    <ignoredError sqref="B2 B15:B2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mpleCall">
                <anchor moveWithCells="1" sizeWithCells="1">
                  <from>
                    <xdr:col>8</xdr:col>
                    <xdr:colOff>22860</xdr:colOff>
                    <xdr:row>22</xdr:row>
                    <xdr:rowOff>22860</xdr:rowOff>
                  </from>
                  <to>
                    <xdr:col>11</xdr:col>
                    <xdr:colOff>1066800</xdr:colOff>
                    <xdr:row>29</xdr:row>
                    <xdr:rowOff>129540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9298E7C-FC97-4D20-856E-08244CBDBCE9}">
            <x14:dataBar minLength="0" maxLength="100" gradient="0">
              <x14:cfvo type="autoMin"/>
              <x14:cfvo type="autoMax"/>
              <x14:negativeFillColor rgb="FFFF0000"/>
              <x14:axisColor rgb="FF000000"/>
            </x14:dataBar>
          </x14:cfRule>
          <xm:sqref>G2:G21</xm:sqref>
        </x14:conditionalFormatting>
        <x14:conditionalFormatting xmlns:xm="http://schemas.microsoft.com/office/excel/2006/main">
          <x14:cfRule type="dataBar" id="{27BB4B75-E78D-4BC2-BF4F-6080994B4ED1}">
            <x14:dataBar minLength="0" maxLength="100" gradient="0" negativeBarColorSameAsPositive="1">
              <x14:cfvo type="autoMin"/>
              <x14:cfvo type="autoMax"/>
              <x14:axisColor rgb="FF000000"/>
            </x14:dataBar>
          </x14:cfRule>
          <x14:cfRule type="dataBar" id="{70F0FF23-F582-4484-8E6F-A4BCB2A411A5}">
            <x14:dataBar minLength="0" maxLength="100" gradient="0">
              <x14:cfvo type="autoMin"/>
              <x14:cfvo type="autoMax"/>
              <x14:negativeFillColor rgb="FFFF0000"/>
              <x14:axisColor rgb="FF000000"/>
            </x14:dataBar>
          </x14:cfRule>
          <xm:sqref>H2:H21</xm:sqref>
        </x14:conditionalFormatting>
        <x14:conditionalFormatting xmlns:xm="http://schemas.microsoft.com/office/excel/2006/main">
          <x14:cfRule type="dataBar" id="{1BE44D09-5C20-474F-873C-5BCA41598B65}">
            <x14:dataBar minLength="0" maxLength="100" gradient="0">
              <x14:cfvo type="autoMin"/>
              <x14:cfvo type="autoMax"/>
              <x14:negativeFillColor rgb="FFFF0000"/>
              <x14:axisColor rgb="FF000000"/>
            </x14:dataBar>
          </x14:cfRule>
          <xm:sqref>I2:I21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ColWidth="11" defaultRowHeight="15.6" x14ac:dyDescent="0.3"/>
  <sheetData/>
  <pageMargins left="0.75" right="0.75" top="1" bottom="1"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984375" defaultRowHeight="15.6" x14ac:dyDescent="0.3"/>
  <cols>
    <col min="1" max="1" width="14.69921875" style="1" customWidth="1"/>
    <col min="2" max="2" width="9.19921875" style="1" customWidth="1"/>
    <col min="3" max="16384" width="8.8984375" style="1"/>
  </cols>
  <sheetData>
    <row r="1" spans="1:2" x14ac:dyDescent="0.3">
      <c r="A1" s="1" t="s">
        <v>8</v>
      </c>
      <c r="B1" s="1" t="s">
        <v>13</v>
      </c>
    </row>
    <row r="2" spans="1:2" x14ac:dyDescent="0.3">
      <c r="A2" s="1" t="s">
        <v>9</v>
      </c>
    </row>
    <row r="3" spans="1:2" x14ac:dyDescent="0.3">
      <c r="A3" s="1" t="s">
        <v>0</v>
      </c>
    </row>
    <row r="4" spans="1:2" x14ac:dyDescent="0.3">
      <c r="A4" s="1" t="s">
        <v>7</v>
      </c>
    </row>
    <row r="5" spans="1:2" x14ac:dyDescent="0.3">
      <c r="A5" s="1" t="s">
        <v>5</v>
      </c>
    </row>
    <row r="6" spans="1:2" x14ac:dyDescent="0.3">
      <c r="A6" s="1" t="s">
        <v>1</v>
      </c>
    </row>
    <row r="7" spans="1:2" x14ac:dyDescent="0.3">
      <c r="A7" s="1" t="s">
        <v>2</v>
      </c>
      <c r="B7" s="1" t="b">
        <v>0</v>
      </c>
    </row>
    <row r="8" spans="1:2" x14ac:dyDescent="0.3">
      <c r="A8" s="1" t="s">
        <v>3</v>
      </c>
      <c r="B8" s="1" t="b">
        <v>0</v>
      </c>
    </row>
    <row r="9" spans="1:2" x14ac:dyDescent="0.3">
      <c r="A9" s="1" t="s">
        <v>12</v>
      </c>
      <c r="B9" s="1" t="b">
        <v>0</v>
      </c>
    </row>
    <row r="13" spans="1:2" x14ac:dyDescent="0.3">
      <c r="A13" s="2" t="s">
        <v>4</v>
      </c>
    </row>
    <row r="14" spans="1:2" x14ac:dyDescent="0.3">
      <c r="A14" s="1" t="s">
        <v>10</v>
      </c>
    </row>
    <row r="15" spans="1:2" x14ac:dyDescent="0.3">
      <c r="A15" s="1" t="s">
        <v>14</v>
      </c>
    </row>
    <row r="16" spans="1:2" x14ac:dyDescent="0.3">
      <c r="A16" s="1" t="s">
        <v>6</v>
      </c>
    </row>
    <row r="17" spans="1:1" x14ac:dyDescent="0.3">
      <c r="A17" s="1" t="s">
        <v>11</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Sheet1</vt:lpstr>
      <vt:lpstr>_xlwings.conf</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dc:creator>
  <cp:keywords/>
  <dc:description/>
  <cp:lastModifiedBy>May, David (SE GP I PR TI PTS GTT)</cp:lastModifiedBy>
  <dcterms:created xsi:type="dcterms:W3CDTF">2015-01-25T11:31:25Z</dcterms:created>
  <dcterms:modified xsi:type="dcterms:W3CDTF">2022-09-19T13:29:08Z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2022-09-10T15:47:33Z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09abecea-de2b-4186-865a-c956f4134496</vt:lpwstr>
  </property>
  <property fmtid="{D5CDD505-2E9C-101B-9397-08002B2CF9AE}" pid="8" name="MSIP_Label_36791f77-3d39-4d72-9277-ac879ec799ed_ContentBits">
    <vt:lpwstr>0</vt:lpwstr>
  </property>
</Properties>
</file>