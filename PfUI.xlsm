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928" codeName="{AE6600E7-7A62-396C-DE95-9942FA9DD81E}"/>
  <workbookPr codeName="ThisWorkbook" autoCompressPictures="0"/>
  <mc:AlternateContent xmlns:mc="http://schemas.openxmlformats.org/markup-compatibility/2006">
    <mc:Choice Requires="x15">
      <x15ac:absPath xmlns:x15ac="http://schemas.microsoft.com/office/spreadsheetml/2010/11/ac" url="C:\Users\z003eb4h\Documents\codes\GitHub\Pfoolio\"/>
    </mc:Choice>
  </mc:AlternateContent>
  <xr:revisionPtr revIDLastSave="0" documentId="13_ncr:1_{CD3598A5-ACA5-4492-9AD1-FB1EF45CFDE5}" xr6:coauthVersionLast="47" xr6:coauthVersionMax="47" xr10:uidLastSave="{00000000-0000-0000-0000-000000000000}"/>
  <bookViews>
    <workbookView xWindow="-108" yWindow="-108" windowWidth="23256" windowHeight="12576" tabRatio="500" xr2:uid="{00000000-000D-0000-FFFF-FFFF00000000}"/>
  </bookViews>
  <sheets>
    <sheet name="Inputs" sheetId="3" r:id="rId1"/>
    <sheet name="Sheet1" sheetId="1" state="hidden" r:id="rId2"/>
    <sheet name="_xlwings.conf" sheetId="2" state="hidden" r:id="rId3"/>
  </sheets>
  <functionGroups builtInGroupCount="19"/>
  <definedNames>
    <definedName name="solver_adj" localSheetId="0" hidden="1">Inputs!$I$2:$I$21</definedName>
    <definedName name="solver_cvg" localSheetId="0" hidden="1">0.0001</definedName>
    <definedName name="solver_drv" localSheetId="0" hidden="1">2</definedName>
    <definedName name="solver_eng" localSheetId="0" hidden="1">1</definedName>
    <definedName name="solver_est" localSheetId="0" hidden="1">1</definedName>
    <definedName name="solver_itr" localSheetId="0" hidden="1">2147483647</definedName>
    <definedName name="solver_lhs1" localSheetId="0" hidden="1">Inputs!$B$30</definedName>
    <definedName name="solver_lhs2" localSheetId="0" hidden="1">Inputs!$I$2</definedName>
    <definedName name="solver_lhs3" localSheetId="0" hidden="1">Inputs!$I$3</definedName>
    <definedName name="solver_lhs4" localSheetId="0" hidden="1">Inputs!$I$4</definedName>
    <definedName name="solver_lhs5" localSheetId="0" hidden="1">Inputs!$I$5</definedName>
    <definedName name="solver_lhs6" localSheetId="0" hidden="1">Inputs!$I$6</definedName>
    <definedName name="solver_lhs7" localSheetId="0" hidden="1">Inputs!$I$7</definedName>
    <definedName name="solver_lhs8" localSheetId="0" hidden="1">Inputs!$I$8</definedName>
    <definedName name="solver_lhs9" localSheetId="0" hidden="1">Inputs!#REF!</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9</definedName>
    <definedName name="solver_nwt" localSheetId="0" hidden="1">1</definedName>
    <definedName name="solver_opt" localSheetId="0" hidden="1">Inputs!#REF!</definedName>
    <definedName name="solver_pre" localSheetId="0" hidden="1">0.000001</definedName>
    <definedName name="solver_rbv" localSheetId="0" hidden="1">2</definedName>
    <definedName name="solver_rel1" localSheetId="0" hidden="1">1</definedName>
    <definedName name="solver_rel2" localSheetId="0" hidden="1">1</definedName>
    <definedName name="solver_rel3" localSheetId="0" hidden="1">1</definedName>
    <definedName name="solver_rel4" localSheetId="0" hidden="1">1</definedName>
    <definedName name="solver_rel5" localSheetId="0" hidden="1">1</definedName>
    <definedName name="solver_rel6" localSheetId="0" hidden="1">1</definedName>
    <definedName name="solver_rel7" localSheetId="0" hidden="1">1</definedName>
    <definedName name="solver_rel8" localSheetId="0" hidden="1">1</definedName>
    <definedName name="solver_rel9" localSheetId="0" hidden="1">1</definedName>
    <definedName name="solver_rhs1" localSheetId="0" hidden="1">Inputs!$B$28</definedName>
    <definedName name="solver_rhs2" localSheetId="0" hidden="1">Inputs!$B$29</definedName>
    <definedName name="solver_rhs3" localSheetId="0" hidden="1">Inputs!$B$29</definedName>
    <definedName name="solver_rhs4" localSheetId="0" hidden="1">Inputs!$B$29</definedName>
    <definedName name="solver_rhs5" localSheetId="0" hidden="1">Inputs!$B$29</definedName>
    <definedName name="solver_rhs6" localSheetId="0" hidden="1">Inputs!$B$29</definedName>
    <definedName name="solver_rhs7" localSheetId="0" hidden="1">Inputs!$B$29</definedName>
    <definedName name="solver_rhs8" localSheetId="0" hidden="1">Inputs!$B$29</definedName>
    <definedName name="solver_rhs9" localSheetId="0" hidden="1">Inputs!$B$29</definedName>
    <definedName name="solver_rlx" localSheetId="0" hidden="1">2</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1</definedName>
    <definedName name="solver_val" localSheetId="0" hidden="1">0</definedName>
    <definedName name="solver_ver" localSheetId="0" hidden="1">3</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M2" i="3" l="1" a="1"/>
  <c r="M2" i="3" s="1"/>
  <c r="M3" i="3" a="1"/>
  <c r="M3" i="3" s="1"/>
  <c r="M4" i="3" a="1"/>
  <c r="M4" i="3" s="1"/>
  <c r="M5" i="3" a="1"/>
  <c r="M5" i="3" s="1"/>
  <c r="M6" i="3" a="1"/>
  <c r="M6" i="3" s="1"/>
  <c r="M7" i="3" a="1"/>
  <c r="M7" i="3" s="1"/>
  <c r="M8" i="3" a="1"/>
  <c r="M8" i="3" s="1"/>
  <c r="M9" i="3" a="1"/>
  <c r="M9" i="3" s="1"/>
  <c r="M10" i="3" a="1"/>
  <c r="M10" i="3" s="1"/>
  <c r="M11" i="3" a="1"/>
  <c r="M11" i="3" s="1"/>
  <c r="M12" i="3" a="1"/>
  <c r="M12" i="3" s="1"/>
  <c r="M13" i="3" a="1"/>
  <c r="M13" i="3" s="1"/>
  <c r="M14" i="3" a="1"/>
  <c r="M14" i="3" s="1"/>
  <c r="M15" i="3" a="1"/>
  <c r="M15" i="3" s="1"/>
  <c r="M16" i="3" a="1"/>
  <c r="M16" i="3" s="1"/>
  <c r="M17" i="3" a="1"/>
  <c r="M17" i="3" s="1"/>
  <c r="M18" i="3" a="1"/>
  <c r="M18" i="3" s="1"/>
  <c r="M19" i="3" a="1"/>
  <c r="M19" i="3" s="1"/>
  <c r="M20" i="3" a="1"/>
  <c r="M20" i="3" s="1"/>
  <c r="M21" i="3" a="1"/>
  <c r="M21" i="3" s="1"/>
  <c r="B14" i="3" l="1" a="1"/>
  <c r="B14" i="3" s="1"/>
  <c r="B3" i="3" a="1"/>
  <c r="B3" i="3" s="1"/>
  <c r="D3" i="3" s="1"/>
  <c r="B4" i="3" a="1"/>
  <c r="B4" i="3" s="1"/>
  <c r="D4" i="3" s="1"/>
  <c r="B5" i="3" a="1"/>
  <c r="B5" i="3" s="1"/>
  <c r="D5" i="3" s="1"/>
  <c r="B6" i="3" a="1"/>
  <c r="B6" i="3" s="1"/>
  <c r="D6" i="3" s="1"/>
  <c r="B7" i="3" a="1"/>
  <c r="B7" i="3" s="1"/>
  <c r="D7" i="3" s="1"/>
  <c r="B8" i="3" a="1"/>
  <c r="B8" i="3" s="1"/>
  <c r="D8" i="3" s="1"/>
  <c r="B9" i="3" a="1"/>
  <c r="B9" i="3" s="1"/>
  <c r="D9" i="3" s="1"/>
  <c r="B10" i="3" a="1"/>
  <c r="B10" i="3" s="1"/>
  <c r="D10" i="3" s="1"/>
  <c r="B11" i="3" a="1"/>
  <c r="B11" i="3" s="1"/>
  <c r="D11" i="3" s="1"/>
  <c r="B12" i="3" a="1"/>
  <c r="B12" i="3" s="1"/>
  <c r="B13" i="3" a="1"/>
  <c r="B13" i="3" s="1"/>
  <c r="B2" i="3" l="1" a="1"/>
  <c r="B2" i="3" s="1"/>
  <c r="D2" i="3" s="1"/>
  <c r="F2" i="3"/>
  <c r="F3" i="3"/>
  <c r="F4" i="3"/>
  <c r="F5" i="3"/>
  <c r="F6" i="3"/>
  <c r="F7" i="3"/>
  <c r="F8" i="3"/>
  <c r="F9" i="3"/>
  <c r="F10" i="3"/>
  <c r="H11" i="3"/>
  <c r="F11" i="3"/>
  <c r="F12" i="3"/>
  <c r="F13" i="3"/>
  <c r="F14" i="3"/>
  <c r="B15" i="3" a="1"/>
  <c r="B15" i="3" s="1"/>
  <c r="F15" i="3"/>
  <c r="B16" i="3" a="1"/>
  <c r="B16" i="3" s="1"/>
  <c r="F16" i="3"/>
  <c r="B17" i="3" a="1"/>
  <c r="B17" i="3" s="1"/>
  <c r="F17" i="3"/>
  <c r="B18" i="3" a="1"/>
  <c r="B18" i="3" s="1"/>
  <c r="F18" i="3"/>
  <c r="B19" i="3" a="1"/>
  <c r="B19" i="3" s="1"/>
  <c r="F19" i="3"/>
  <c r="B20" i="3" a="1"/>
  <c r="B20" i="3" s="1"/>
  <c r="F20" i="3"/>
  <c r="B21" i="3" a="1"/>
  <c r="B21" i="3" s="1"/>
  <c r="F21" i="3"/>
  <c r="B23" i="3" l="1"/>
  <c r="G11" i="3"/>
  <c r="L11" i="3" s="1"/>
  <c r="G16" i="3"/>
  <c r="H16" i="3"/>
  <c r="J16" i="3" s="1"/>
  <c r="K16" i="3" s="1"/>
  <c r="G8" i="3"/>
  <c r="H8" i="3"/>
  <c r="G15" i="3"/>
  <c r="H15" i="3"/>
  <c r="J15" i="3" s="1"/>
  <c r="K15" i="3" s="1"/>
  <c r="G7" i="3"/>
  <c r="H7" i="3"/>
  <c r="G5" i="3"/>
  <c r="H5" i="3"/>
  <c r="G14" i="3"/>
  <c r="H14" i="3"/>
  <c r="G6" i="3"/>
  <c r="H6" i="3"/>
  <c r="G21" i="3"/>
  <c r="L21" i="3" s="1"/>
  <c r="H21" i="3"/>
  <c r="G13" i="3"/>
  <c r="H13" i="3"/>
  <c r="G20" i="3"/>
  <c r="H20" i="3"/>
  <c r="J20" i="3" s="1"/>
  <c r="K20" i="3" s="1"/>
  <c r="G12" i="3"/>
  <c r="H12" i="3"/>
  <c r="G4" i="3"/>
  <c r="H4" i="3"/>
  <c r="G3" i="3"/>
  <c r="H3" i="3"/>
  <c r="G18" i="3"/>
  <c r="L18" i="3" s="1"/>
  <c r="H18" i="3"/>
  <c r="J18" i="3" s="1"/>
  <c r="K18" i="3" s="1"/>
  <c r="G19" i="3"/>
  <c r="H19" i="3"/>
  <c r="G10" i="3"/>
  <c r="H10" i="3"/>
  <c r="G9" i="3"/>
  <c r="H9" i="3"/>
  <c r="G2" i="3"/>
  <c r="H2" i="3"/>
  <c r="G17" i="3"/>
  <c r="H17" i="3"/>
  <c r="J17" i="3" s="1"/>
  <c r="K17" i="3" s="1"/>
  <c r="J14" i="3" l="1"/>
  <c r="K14" i="3" s="1"/>
  <c r="L16" i="3"/>
  <c r="J19" i="3"/>
  <c r="K19" i="3" s="1"/>
  <c r="J12" i="3"/>
  <c r="K12" i="3" s="1"/>
  <c r="J2" i="3"/>
  <c r="K2" i="3" s="1"/>
  <c r="J9" i="3"/>
  <c r="K9" i="3" s="1"/>
  <c r="J10" i="3"/>
  <c r="K10" i="3" s="1"/>
  <c r="J4" i="3"/>
  <c r="K4" i="3" s="1"/>
  <c r="J7" i="3"/>
  <c r="K7" i="3" s="1"/>
  <c r="J6" i="3"/>
  <c r="K6" i="3" s="1"/>
  <c r="L8" i="3"/>
  <c r="J11" i="3"/>
  <c r="K11" i="3" s="1"/>
  <c r="L5" i="3"/>
  <c r="J13" i="3"/>
  <c r="K13" i="3" s="1"/>
  <c r="L3" i="3"/>
  <c r="J21" i="3"/>
  <c r="K21" i="3" s="1"/>
  <c r="L14" i="3"/>
  <c r="J3" i="3"/>
  <c r="K3" i="3" s="1"/>
  <c r="J5" i="3"/>
  <c r="K5" i="3" s="1"/>
  <c r="L6" i="3"/>
  <c r="L10" i="3"/>
  <c r="L13" i="3"/>
  <c r="L17" i="3"/>
  <c r="L4" i="3"/>
  <c r="L7" i="3"/>
  <c r="L15" i="3"/>
  <c r="J8" i="3"/>
  <c r="K8" i="3" s="1"/>
  <c r="L19" i="3"/>
  <c r="L2" i="3"/>
  <c r="L12" i="3"/>
  <c r="L9" i="3"/>
  <c r="L20"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futureMetadata>
  <cellMetadata count="1">
    <bk>
      <rc t="1" v="0"/>
    </bk>
  </cellMetadata>
  <valueMetadata count="13">
    <bk>
      <rc t="2" v="0"/>
    </bk>
    <bk>
      <rc t="2" v="1"/>
    </bk>
    <bk>
      <rc t="2" v="2"/>
    </bk>
    <bk>
      <rc t="2" v="3"/>
    </bk>
    <bk>
      <rc t="2" v="4"/>
    </bk>
    <bk>
      <rc t="2" v="5"/>
    </bk>
    <bk>
      <rc t="2" v="6"/>
    </bk>
    <bk>
      <rc t="2" v="7"/>
    </bk>
    <bk>
      <rc t="2" v="8"/>
    </bk>
    <bk>
      <rc t="2" v="9"/>
    </bk>
    <bk>
      <rc t="2" v="10"/>
    </bk>
    <bk>
      <rc t="2" v="11"/>
    </bk>
    <bk>
      <rc t="2" v="12"/>
    </bk>
  </valueMetadata>
</metadata>
</file>

<file path=xl/sharedStrings.xml><?xml version="1.0" encoding="utf-8"?>
<sst xmlns="http://schemas.openxmlformats.org/spreadsheetml/2006/main" count="39" uniqueCount="39">
  <si>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</si>
  <si>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</si>
  <si>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</si>
  <si>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</si>
  <si>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</si>
  <si>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</si>
  <si>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</si>
  <si>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</si>
  <si>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</si>
  <si>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</si>
  <si>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</si>
  <si>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If you delete a row from here, it will fall back to the first non-empty value xlwings finds in an xlwings.conf file and otherwise use the default values.</t>
  </si>
  <si>
    <t>Show Console</t>
  </si>
  <si>
    <t>python</t>
  </si>
  <si>
    <t>Rename this sheet to "xlwings.conf" to activate it (remove the leading underscore).  The settings have to start in cell A1.</t>
  </si>
  <si>
    <t>= for info</t>
  </si>
  <si>
    <t>= calculated</t>
  </si>
  <si>
    <t>= input</t>
  </si>
  <si>
    <t>= automatically updated</t>
  </si>
  <si>
    <t>f, bankroll fraction</t>
  </si>
  <si>
    <t>Analytically calculated growth, f=100%
E(g)</t>
  </si>
  <si>
    <t>Analytically calculated growth, f=f*
E(g)</t>
  </si>
  <si>
    <r>
      <rPr>
        <b/>
        <sz val="10"/>
        <color theme="1"/>
        <rFont val="Arial"/>
        <family val="2"/>
      </rPr>
      <t>Analytical f*, 
for a single position</t>
    </r>
    <r>
      <rPr>
        <sz val="12"/>
        <color theme="1"/>
        <rFont val="Calibri"/>
        <family val="2"/>
        <scheme val="minor"/>
      </rPr>
      <t xml:space="preserve"> 
[% to invest]</t>
    </r>
  </si>
  <si>
    <r>
      <t xml:space="preserve">Wi, 
</t>
    </r>
    <r>
      <rPr>
        <sz val="12"/>
        <color theme="1"/>
        <rFont val="Calibri"/>
        <family val="2"/>
        <scheme val="minor"/>
      </rPr>
      <t>Portfolio weight</t>
    </r>
  </si>
  <si>
    <r>
      <rPr>
        <b/>
        <sz val="10"/>
        <color theme="1"/>
        <rFont val="Arial"/>
        <family val="2"/>
      </rPr>
      <t>a</t>
    </r>
    <r>
      <rPr>
        <sz val="12"/>
        <color theme="1"/>
        <rFont val="Calibri"/>
        <family val="2"/>
        <scheme val="minor"/>
      </rPr>
      <t xml:space="preserve">
loss</t>
    </r>
  </si>
  <si>
    <r>
      <rPr>
        <b/>
        <sz val="10"/>
        <color theme="1"/>
        <rFont val="Arial"/>
        <family val="2"/>
      </rPr>
      <t xml:space="preserve">b </t>
    </r>
    <r>
      <rPr>
        <sz val="12"/>
        <color theme="1"/>
        <rFont val="Calibri"/>
        <family val="2"/>
        <scheme val="minor"/>
      </rPr>
      <t xml:space="preserve">
gain</t>
    </r>
  </si>
  <si>
    <r>
      <rPr>
        <b/>
        <sz val="10"/>
        <color theme="1"/>
        <rFont val="Arial"/>
        <family val="2"/>
      </rPr>
      <t>q =p-1</t>
    </r>
    <r>
      <rPr>
        <sz val="12"/>
        <color theme="1"/>
        <rFont val="Calibri"/>
        <family val="2"/>
        <scheme val="minor"/>
      </rPr>
      <t xml:space="preserve">
</t>
    </r>
    <r>
      <rPr>
        <sz val="12"/>
        <color theme="1"/>
        <rFont val="Calibri"/>
        <family val="2"/>
        <scheme val="minor"/>
      </rPr>
      <t>Downside probability</t>
    </r>
  </si>
  <si>
    <r>
      <rPr>
        <b/>
        <sz val="10"/>
        <color theme="1"/>
        <rFont val="Arial"/>
        <family val="2"/>
      </rPr>
      <t xml:space="preserve">p </t>
    </r>
    <r>
      <rPr>
        <sz val="12"/>
        <color theme="1"/>
        <rFont val="Calibri"/>
        <family val="2"/>
        <scheme val="minor"/>
      </rPr>
      <t xml:space="preserve">
</t>
    </r>
    <r>
      <rPr>
        <sz val="12"/>
        <color theme="1"/>
        <rFont val="Calibri"/>
        <family val="2"/>
        <scheme val="minor"/>
      </rPr>
      <t>Upside probabilty</t>
    </r>
  </si>
  <si>
    <t>Current Price</t>
  </si>
  <si>
    <t>Objective Weighting factor, t</t>
  </si>
  <si>
    <t>Stocks</t>
  </si>
  <si>
    <t>Years to price target</t>
  </si>
  <si>
    <t>Max Leverage, Fmax</t>
  </si>
  <si>
    <t>Max postion size, fmax</t>
  </si>
  <si>
    <r>
      <t xml:space="preserve">= calculated using the </t>
    </r>
    <r>
      <rPr>
        <b/>
        <sz val="10"/>
        <color theme="1"/>
        <rFont val="Arial"/>
        <family val="2"/>
      </rPr>
      <t>Optimize</t>
    </r>
    <r>
      <rPr>
        <sz val="12"/>
        <color theme="1"/>
        <rFont val="Calibri"/>
        <family val="2"/>
        <scheme val="minor"/>
      </rPr>
      <t xml:space="preserve"> button</t>
    </r>
  </si>
  <si>
    <t>Return: Growth, E(g)</t>
  </si>
  <si>
    <t>Risk: Semi-deviation below 20% return</t>
  </si>
  <si>
    <t xml:space="preserve">
Upside</t>
  </si>
  <si>
    <t xml:space="preserve">
Downside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</si>
</sst>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 numFmtId="165" formatCode="_([$$-409]* #,##0.00_);_([$$-409]* \(#,##0.00\);_([$$-409]* &quot;-&quot;??_);_(@_)"/>
    <numFmt numFmtId="166" formatCode="0.0000000000000000%"/>
    <numFmt numFmtId="167" formatCode="_-[$$-409]* #,##0.00_ ;_-[$$-409]* \-#,##0.00\ ;_-[$$-409]* &quot;-&quot;??_ ;_-@_ "/>
    <numFmt numFmtId="168" formatCode="0.0"/>
    <numFmt numFmtId="169" formatCode="0.000"/>
  </numFmts>
  <fonts count="6">
    <font>
      <sz val="12"/>
      <color theme="1"/>
      <name val="Calibri"/>
      <family val="2"/>
      <scheme val="minor"/>
    </font>
    <font>
      <sz val="10"/>
      <color theme="1"/>
      <name val="Arial"/>
      <family val="2"/>
    </font>
    <font>
      <b/>
      <sz val="12"/>
      <color theme="1"/>
      <name val="Calibri"/>
      <family val="2"/>
      <scheme val="minor"/>
    </font>
    <font>
      <b/>
      <sz val="10"/>
      <color theme="1"/>
      <name val="Arial"/>
      <family val="2"/>
    </font>
    <font>
      <b/>
      <sz val="12"/>
      <color theme="1"/>
      <name val="Arial"/>
      <family val="2"/>
    </font>
    <font>
      <b/>
      <sz val="12"/>
      <color rgb="FF000000"/>
      <name val="Arial"/>
      <family val="2"/>
    </font>
  </fonts>
  <fills count="8">
    <fill>
      <patternFill patternType="none"/>
    </fill>
    <fill>
      <patternFill patternType="gray125"/>
    </fill>
    <fill>
      <patternFill patternType="solid">
        <fgColor theme="0" tint="-0.34998626667073579"/>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C000"/>
        <bgColor indexed="64"/>
      </patternFill>
    </fill>
    <fill>
      <patternFill patternType="solid">
        <fgColor theme="0" tint="-0.149998474074526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cellStyleXfs>
  <cellXfs count="44">
    <xf numFmtId="0" fontId="0" fillId="0" borderId="0" xfId="0"/>
    <xf numFmtId="0" fontId="0" fillId="0" borderId="0" xfId="0" applyAlignment="1">
      <alignment vertical="center"/>
    </xf>
    <xf numFmtId="0" fontId="2" fillId="0" borderId="0" xfId="0" applyFont="1" applyAlignment="1">
      <alignment vertical="center"/>
    </xf>
    <xf numFmtId="0" fontId="1" fillId="0" borderId="0" xfId="6"/>
    <xf numFmtId="0" fontId="1" fillId="0" borderId="0" xfId="6" quotePrefix="1"/>
    <xf numFmtId="0" fontId="1" fillId="2" borderId="1" xfId="6" applyFill="1" applyBorder="1"/>
    <xf numFmtId="0" fontId="1" fillId="3" borderId="1" xfId="6" applyFill="1" applyBorder="1"/>
    <xf numFmtId="0" fontId="1" fillId="4" borderId="1" xfId="6" applyFill="1" applyBorder="1"/>
    <xf numFmtId="0" fontId="1" fillId="5" borderId="1" xfId="6" applyFill="1" applyBorder="1"/>
    <xf numFmtId="0" fontId="1" fillId="6" borderId="1" xfId="6" applyFill="1" applyBorder="1"/>
    <xf numFmtId="164" fontId="1" fillId="0" borderId="0" xfId="6" applyNumberFormat="1"/>
    <xf numFmtId="165" fontId="1" fillId="0" borderId="0" xfId="6" applyNumberFormat="1"/>
    <xf numFmtId="166" fontId="1" fillId="0" borderId="0" xfId="6" applyNumberFormat="1"/>
    <xf numFmtId="167" fontId="1" fillId="0" borderId="0" xfId="6" applyNumberFormat="1"/>
    <xf numFmtId="164" fontId="1" fillId="5" borderId="1" xfId="6" applyNumberFormat="1" applyFill="1" applyBorder="1"/>
    <xf numFmtId="9" fontId="1" fillId="4" borderId="1" xfId="6" applyNumberFormat="1" applyFill="1" applyBorder="1"/>
    <xf numFmtId="168" fontId="1" fillId="5" borderId="1" xfId="6" applyNumberFormat="1" applyFill="1" applyBorder="1"/>
    <xf numFmtId="9" fontId="3" fillId="4" borderId="1" xfId="6" applyNumberFormat="1" applyFont="1" applyFill="1" applyBorder="1"/>
    <xf numFmtId="9" fontId="1" fillId="0" borderId="0" xfId="6" applyNumberFormat="1"/>
    <xf numFmtId="2" fontId="1" fillId="0" borderId="0" xfId="6" applyNumberFormat="1"/>
    <xf numFmtId="9" fontId="1" fillId="2" borderId="1" xfId="6" applyNumberFormat="1" applyFill="1" applyBorder="1"/>
    <xf numFmtId="169" fontId="1" fillId="2" borderId="1" xfId="6" applyNumberFormat="1" applyFill="1" applyBorder="1"/>
    <xf numFmtId="9" fontId="4" fillId="3" borderId="1" xfId="6" applyNumberFormat="1" applyFont="1" applyFill="1" applyBorder="1"/>
    <xf numFmtId="9" fontId="1" fillId="5" borderId="1" xfId="6" applyNumberFormat="1" applyFill="1" applyBorder="1"/>
    <xf numFmtId="1" fontId="1" fillId="5" borderId="1" xfId="6" applyNumberFormat="1" applyFill="1" applyBorder="1"/>
    <xf numFmtId="165" fontId="1" fillId="6" borderId="1" xfId="6" applyNumberFormat="1" applyFill="1" applyBorder="1"/>
    <xf numFmtId="0" fontId="1" fillId="7" borderId="2" xfId="6" applyFill="1" applyBorder="1"/>
    <xf numFmtId="0" fontId="1" fillId="7" borderId="3" xfId="6" applyFill="1" applyBorder="1"/>
    <xf numFmtId="0" fontId="1" fillId="7" borderId="4" xfId="6" applyFill="1" applyBorder="1"/>
    <xf numFmtId="0" fontId="1" fillId="0" borderId="0" xfId="6" applyAlignment="1">
      <alignment horizontal="left"/>
    </xf>
    <xf numFmtId="0" fontId="3" fillId="0" borderId="0" xfId="6" applyFont="1" applyAlignment="1">
      <alignment horizontal="left" wrapText="1"/>
    </xf>
    <xf numFmtId="0" fontId="1" fillId="0" borderId="0" xfId="6" applyAlignment="1">
      <alignment horizontal="left" wrapText="1"/>
    </xf>
    <xf numFmtId="0" fontId="4" fillId="0" borderId="0" xfId="6" applyFont="1"/>
    <xf numFmtId="0" fontId="3" fillId="4" borderId="1" xfId="6" applyFont="1" applyFill="1" applyBorder="1"/>
    <xf numFmtId="9" fontId="3" fillId="3" borderId="1" xfId="6" applyNumberFormat="1" applyFont="1" applyFill="1" applyBorder="1"/>
    <xf numFmtId="164" fontId="3" fillId="3" borderId="1" xfId="6" applyNumberFormat="1" applyFont="1" applyFill="1" applyBorder="1"/>
    <xf numFmtId="3" fontId="1" fillId="0" borderId="0" xfId="6" applyNumberFormat="1"/>
    <xf numFmtId="0" fontId="1" fillId="0" borderId="0" xfId="6" applyFill="1" applyBorder="1" applyAlignment="1">
      <alignment horizontal="left"/>
    </xf>
    <xf numFmtId="0" fontId="1" fillId="0" borderId="0" xfId="6" applyFill="1" applyBorder="1"/>
    <xf numFmtId="9" fontId="4" fillId="0" borderId="0" xfId="6" applyNumberFormat="1" applyFont="1" applyFill="1" applyBorder="1"/>
    <xf numFmtId="168" fontId="3" fillId="5" borderId="1" xfId="6" applyNumberFormat="1" applyFont="1" applyFill="1" applyBorder="1"/>
    <xf numFmtId="1" fontId="3" fillId="5" borderId="1" xfId="6" applyNumberFormat="1" applyFont="1" applyFill="1" applyBorder="1"/>
    <xf numFmtId="0" fontId="3" fillId="5" borderId="1" xfId="6" applyFont="1" applyFill="1" applyBorder="1"/>
    <xf numFmtId="2" fontId="1" fillId="5" borderId="1" xfId="6" applyNumberFormat="1" applyFill="1" applyBorder="1"/>
  </cellXfs>
  <cellStyles count="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2" xfId="6" xr:uid="{4AD132E7-4846-4F56-8FB7-9ED69144488D}"/>
    <cellStyle name="Percent" xfId="1" xr:uid="{00000000-0005-0000-0000-000001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microsoft.com/office/2006/relationships/vbaProject" Target="vbaProject.bin"/><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22860</xdr:colOff>
          <xdr:row>22</xdr:row>
          <xdr:rowOff>22860</xdr:rowOff>
        </xdr:from>
        <xdr:to>
          <xdr:col>11</xdr:col>
          <xdr:colOff>1066800</xdr:colOff>
          <xdr:row>29</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1" i="0" u="none" strike="noStrike" baseline="0">
                  <a:solidFill>
                    <a:srgbClr val="000000"/>
                  </a:solidFill>
                  <a:latin typeface="Arial"/>
                  <a:cs typeface="Arial"/>
                </a:rPr>
                <a:t>Optimize</a:t>
              </a:r>
            </a:p>
          </xdr:txBody>
        </xdr:sp>
        <xdr:clientData fPrintsWithSheet="0"/>
      </xdr:twoCellAnchor>
    </mc:Choice>
    <mc:Fallback/>
  </mc:AlternateContent>
  <xdr:twoCellAnchor>
    <xdr:from>
      <xdr:col>0</xdr:col>
      <xdr:colOff>2569028</xdr:colOff>
      <xdr:row>0</xdr:row>
      <xdr:rowOff>185057</xdr:rowOff>
    </xdr:from>
    <xdr:to>
      <xdr:col>1</xdr:col>
      <xdr:colOff>674913</xdr:colOff>
      <xdr:row>0</xdr:row>
      <xdr:rowOff>772885</xdr:rowOff>
    </xdr:to>
    <xdr:sp macro="" textlink="">
      <xdr:nvSpPr>
        <xdr:cNvPr id="4" name="Speech Bubble: Rectangle 3">
          <a:extLst>
            <a:ext uri="{FF2B5EF4-FFF2-40B4-BE49-F238E27FC236}">
              <a16:creationId xmlns:a16="http://schemas.microsoft.com/office/drawing/2014/main" id="{00000000-0008-0000-0000-000004000000}"/>
            </a:ext>
          </a:extLst>
        </xdr:cNvPr>
        <xdr:cNvSpPr/>
      </xdr:nvSpPr>
      <xdr:spPr>
        <a:xfrm>
          <a:off x="610688" y="169817"/>
          <a:ext cx="605245" cy="1088"/>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900"/>
            <a:t>stock prices should update automatically, no need to input them</a:t>
          </a:r>
        </a:p>
      </xdr:txBody>
    </xdr:sp>
    <xdr:clientData/>
  </xdr:twoCellAnchor>
  <xdr:twoCellAnchor>
    <xdr:from>
      <xdr:col>5</xdr:col>
      <xdr:colOff>97969</xdr:colOff>
      <xdr:row>27</xdr:row>
      <xdr:rowOff>1</xdr:rowOff>
    </xdr:from>
    <xdr:to>
      <xdr:col>7</xdr:col>
      <xdr:colOff>141513</xdr:colOff>
      <xdr:row>32</xdr:row>
      <xdr:rowOff>69273</xdr:rowOff>
    </xdr:to>
    <xdr:sp macro="" textlink="">
      <xdr:nvSpPr>
        <xdr:cNvPr id="6" name="Speech Bubble: Rectangle 5">
          <a:extLst>
            <a:ext uri="{FF2B5EF4-FFF2-40B4-BE49-F238E27FC236}">
              <a16:creationId xmlns:a16="http://schemas.microsoft.com/office/drawing/2014/main" id="{00000000-0008-0000-0000-000006000000}"/>
            </a:ext>
          </a:extLst>
        </xdr:cNvPr>
        <xdr:cNvSpPr/>
      </xdr:nvSpPr>
      <xdr:spPr>
        <a:xfrm>
          <a:off x="7579424" y="6622474"/>
          <a:ext cx="2052453" cy="983672"/>
        </a:xfrm>
        <a:prstGeom prst="wedgeRectCallout">
          <a:avLst>
            <a:gd name="adj1" fmla="val -200446"/>
            <a:gd name="adj2" fmla="val -5336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2: Objective</a:t>
          </a:r>
        </a:p>
        <a:p>
          <a:pPr algn="l"/>
          <a:r>
            <a:rPr lang="fr-CA" sz="900"/>
            <a:t>this is a factor that sets the relative importance between the portfolio growth</a:t>
          </a:r>
          <a:r>
            <a:rPr lang="fr-CA" sz="900" baseline="0"/>
            <a:t> and  risk</a:t>
          </a:r>
          <a:endParaRPr lang="fr-CA" sz="900"/>
        </a:p>
      </xdr:txBody>
    </xdr:sp>
    <xdr:clientData/>
  </xdr:twoCellAnchor>
  <xdr:twoCellAnchor>
    <xdr:from>
      <xdr:col>2</xdr:col>
      <xdr:colOff>707570</xdr:colOff>
      <xdr:row>21</xdr:row>
      <xdr:rowOff>76199</xdr:rowOff>
    </xdr:from>
    <xdr:to>
      <xdr:col>5</xdr:col>
      <xdr:colOff>217714</xdr:colOff>
      <xdr:row>26</xdr:row>
      <xdr:rowOff>119743</xdr:rowOff>
    </xdr:to>
    <xdr:sp macro="" textlink="">
      <xdr:nvSpPr>
        <xdr:cNvPr id="7" name="Speech Bubble: Rectangle 6">
          <a:extLst>
            <a:ext uri="{FF2B5EF4-FFF2-40B4-BE49-F238E27FC236}">
              <a16:creationId xmlns:a16="http://schemas.microsoft.com/office/drawing/2014/main" id="{00000000-0008-0000-0000-000007000000}"/>
            </a:ext>
          </a:extLst>
        </xdr:cNvPr>
        <xdr:cNvSpPr/>
      </xdr:nvSpPr>
      <xdr:spPr>
        <a:xfrm>
          <a:off x="1827710" y="3596639"/>
          <a:ext cx="1438004" cy="881744"/>
        </a:xfrm>
        <a:prstGeom prst="wedgeRectCallout">
          <a:avLst>
            <a:gd name="adj1" fmla="val -71910"/>
            <a:gd name="adj2" fmla="val -1350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Optional:</a:t>
          </a:r>
        </a:p>
        <a:p>
          <a:pPr algn="l"/>
          <a:r>
            <a:rPr lang="fr-CA" sz="900"/>
            <a:t>I have set the price targets to  be achieved in 2 years. You can change this. It changes nothing about the cal culation per say, but it's</a:t>
          </a:r>
          <a:r>
            <a:rPr lang="fr-CA" sz="900" baseline="0"/>
            <a:t> important to establish a timeframe for a prediction</a:t>
          </a:r>
          <a:endParaRPr lang="fr-CA" sz="900"/>
        </a:p>
      </xdr:txBody>
    </xdr:sp>
    <xdr:clientData/>
  </xdr:twoCellAnchor>
  <xdr:twoCellAnchor>
    <xdr:from>
      <xdr:col>9</xdr:col>
      <xdr:colOff>1151905</xdr:colOff>
      <xdr:row>30</xdr:row>
      <xdr:rowOff>130630</xdr:rowOff>
    </xdr:from>
    <xdr:to>
      <xdr:col>11</xdr:col>
      <xdr:colOff>987631</xdr:colOff>
      <xdr:row>36</xdr:row>
      <xdr:rowOff>138546</xdr:rowOff>
    </xdr:to>
    <xdr:sp macro="" textlink="">
      <xdr:nvSpPr>
        <xdr:cNvPr id="9" name="Speech Bubble: Rectangle 8">
          <a:extLst>
            <a:ext uri="{FF2B5EF4-FFF2-40B4-BE49-F238E27FC236}">
              <a16:creationId xmlns:a16="http://schemas.microsoft.com/office/drawing/2014/main" id="{00000000-0008-0000-0000-000009000000}"/>
            </a:ext>
          </a:extLst>
        </xdr:cNvPr>
        <xdr:cNvSpPr/>
      </xdr:nvSpPr>
      <xdr:spPr>
        <a:xfrm>
          <a:off x="12207832" y="7334994"/>
          <a:ext cx="2038599" cy="1005443"/>
        </a:xfrm>
        <a:prstGeom prst="wedgeRectCallout">
          <a:avLst>
            <a:gd name="adj1" fmla="val -96590"/>
            <a:gd name="adj2" fmla="val -6006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4: Optimize</a:t>
          </a:r>
        </a:p>
        <a:p>
          <a:pPr algn="l"/>
          <a:r>
            <a:rPr lang="fr-CA" sz="900"/>
            <a:t>run the optimizer! The results will be seen in the Wi column. This will guide you on the ideal weights to achieve the objective.</a:t>
          </a:r>
        </a:p>
      </xdr:txBody>
    </xdr:sp>
    <xdr:clientData/>
  </xdr:twoCellAnchor>
  <xdr:twoCellAnchor>
    <xdr:from>
      <xdr:col>1</xdr:col>
      <xdr:colOff>391885</xdr:colOff>
      <xdr:row>32</xdr:row>
      <xdr:rowOff>21773</xdr:rowOff>
    </xdr:from>
    <xdr:to>
      <xdr:col>4</xdr:col>
      <xdr:colOff>1251855</xdr:colOff>
      <xdr:row>36</xdr:row>
      <xdr:rowOff>0</xdr:rowOff>
    </xdr:to>
    <xdr:sp macro="" textlink="">
      <xdr:nvSpPr>
        <xdr:cNvPr id="10" name="Speech Bubble: Rectangle 9">
          <a:extLst>
            <a:ext uri="{FF2B5EF4-FFF2-40B4-BE49-F238E27FC236}">
              <a16:creationId xmlns:a16="http://schemas.microsoft.com/office/drawing/2014/main" id="{00000000-0008-0000-0000-00000A000000}"/>
            </a:ext>
          </a:extLst>
        </xdr:cNvPr>
        <xdr:cNvSpPr/>
      </xdr:nvSpPr>
      <xdr:spPr>
        <a:xfrm>
          <a:off x="1001485" y="5553893"/>
          <a:ext cx="2048690" cy="648787"/>
        </a:xfrm>
        <a:prstGeom prst="wedgeRectCallout">
          <a:avLst>
            <a:gd name="adj1" fmla="val -33055"/>
            <a:gd name="adj2" fmla="val -15364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3: Solver Constraints</a:t>
          </a:r>
        </a:p>
        <a:p>
          <a:pPr algn="l"/>
          <a:r>
            <a:rPr lang="fr-CA" sz="900"/>
            <a:t>Set the maximum leverage: Example:  0.7 = 30% cash, 1 = 0%</a:t>
          </a:r>
          <a:r>
            <a:rPr lang="fr-CA" sz="900" baseline="0"/>
            <a:t> cash</a:t>
          </a:r>
        </a:p>
        <a:p>
          <a:pPr algn="l"/>
          <a:r>
            <a:rPr lang="fr-CA" sz="900" baseline="0"/>
            <a:t>Set maximum position size: Example no positions &gt; 15% of potfolio</a:t>
          </a:r>
        </a:p>
      </xdr:txBody>
    </xdr:sp>
    <xdr:clientData/>
  </xdr:twoCellAnchor>
  <xdr:twoCellAnchor>
    <xdr:from>
      <xdr:col>2</xdr:col>
      <xdr:colOff>432458</xdr:colOff>
      <xdr:row>0</xdr:row>
      <xdr:rowOff>194953</xdr:rowOff>
    </xdr:from>
    <xdr:to>
      <xdr:col>4</xdr:col>
      <xdr:colOff>209799</xdr:colOff>
      <xdr:row>0</xdr:row>
      <xdr:rowOff>880753</xdr:rowOff>
    </xdr:to>
    <xdr:sp macro="" textlink="">
      <xdr:nvSpPr>
        <xdr:cNvPr id="11" name="Speech Bubble: Rectangle 10">
          <a:extLst>
            <a:ext uri="{FF2B5EF4-FFF2-40B4-BE49-F238E27FC236}">
              <a16:creationId xmlns:a16="http://schemas.microsoft.com/office/drawing/2014/main" id="{00000000-0008-0000-0000-00000B000000}"/>
            </a:ext>
          </a:extLst>
        </xdr:cNvPr>
        <xdr:cNvSpPr/>
      </xdr:nvSpPr>
      <xdr:spPr>
        <a:xfrm>
          <a:off x="4768931" y="194953"/>
          <a:ext cx="1647704" cy="685800"/>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1: Inputs</a:t>
          </a:r>
        </a:p>
        <a:p>
          <a:pPr algn="l"/>
          <a:r>
            <a:rPr lang="fr-CA" sz="900"/>
            <a:t>input your view of the upside,</a:t>
          </a:r>
          <a:r>
            <a:rPr lang="fr-CA" sz="900" baseline="0"/>
            <a:t> downside and probability</a:t>
          </a:r>
          <a:endParaRPr lang="fr-CA" sz="900"/>
        </a:p>
      </xdr:txBody>
    </xdr:sp>
    <xdr:clientData/>
  </xdr:twoCellAnchor>
  <xdr:twoCellAnchor editAs="oneCell">
    <xdr:from>
      <xdr:col>6</xdr:col>
      <xdr:colOff>70756</xdr:colOff>
      <xdr:row>37</xdr:row>
      <xdr:rowOff>61684</xdr:rowOff>
    </xdr:from>
    <xdr:to>
      <xdr:col>17</xdr:col>
      <xdr:colOff>337456</xdr:colOff>
      <xdr:row>76</xdr:row>
      <xdr:rowOff>51375</xdr:rowOff>
    </xdr:to>
    <xdr:pic>
      <xdr:nvPicPr>
        <xdr:cNvPr id="53" name="Bubble">
          <a:extLst>
            <a:ext uri="{FF2B5EF4-FFF2-40B4-BE49-F238E27FC236}">
              <a16:creationId xmlns:a16="http://schemas.microsoft.com/office/drawing/2014/main" id="{E246CBE4-DB24-EC48-9580-AB5D251000E2}"/>
            </a:ext>
          </a:extLst>
        </xdr:cNvPr>
        <xdr:cNvPicPr>
          <a:picLocks/>
        </xdr:cNvPicPr>
      </xdr:nvPicPr>
      <xdr:blipFill>
        <a:blip xmlns:r="http://schemas.openxmlformats.org/officeDocument/2006/relationships" r:embed="rId1"/>
        <a:stretch>
          <a:fillRect/>
        </a:stretch>
      </xdr:blipFill>
      <xdr:spPr>
        <a:xfrm>
          <a:off x="8902336" y="8557984"/>
          <a:ext cx="8557260" cy="6527651"/>
        </a:xfrm>
        <a:prstGeom prst="rect">
          <a:avLst/>
        </a:prstGeom>
      </xdr:spPr>
    </xdr:pic>
    <xdr:clientData/>
  </xdr:twoCellAnchor>
  <xdr:twoCellAnchor editAs="oneCell">
    <xdr:from>
      <xdr:col>0</xdr:col>
      <xdr:colOff>54428</xdr:colOff>
      <xdr:row>37</xdr:row>
      <xdr:rowOff>21771</xdr:rowOff>
    </xdr:from>
    <xdr:to>
      <xdr:col>5</xdr:col>
      <xdr:colOff>1262743</xdr:colOff>
      <xdr:row>76</xdr:row>
      <xdr:rowOff>20509</xdr:rowOff>
    </xdr:to>
    <xdr:pic>
      <xdr:nvPicPr>
        <xdr:cNvPr id="55" name="Frontier">
          <a:extLst>
            <a:ext uri="{FF2B5EF4-FFF2-40B4-BE49-F238E27FC236}">
              <a16:creationId xmlns:a16="http://schemas.microsoft.com/office/drawing/2014/main" id="{ED9DC7F0-0842-B793-6291-3A9B02CAF688}"/>
            </a:ext>
          </a:extLst>
        </xdr:cNvPr>
        <xdr:cNvPicPr>
          <a:picLocks/>
        </xdr:cNvPicPr>
      </xdr:nvPicPr>
      <xdr:blipFill>
        <a:blip xmlns:r="http://schemas.openxmlformats.org/officeDocument/2006/relationships" r:embed="rId2"/>
        <a:stretch>
          <a:fillRect/>
        </a:stretch>
      </xdr:blipFill>
      <xdr:spPr>
        <a:xfrm>
          <a:off x="54428" y="8518071"/>
          <a:ext cx="8691155" cy="6536698"/>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3">
  <rv s="0">
    <v>https://www.bing.com/financeapi/forcetrigger?t=a23yk2&amp;q=XNAS%3aFRG&amp;form=skydnc</v>
    <v>Learn more on Bing</v>
  </rv>
  <rv s="1">
    <v>fr-FR</v>
    <v>a23yk2</v>
    <v>268435456</v>
    <v>1</v>
    <v>Avec Refinitiv</v>
    <v>0</v>
    <v>1</v>
    <v>Franchise Group (XNAS:FRG)</v>
    <v>3</v>
    <v>4</v>
    <v>Finance</v>
    <v>5</v>
    <v>XNAS</v>
    <v>34925770</v>
    <v>2010</v>
    <v>24</v>
    <v>22.67</v>
    <v>1.8062</v>
    <v>859173942</v>
    <v>Nasdaq Stock Market</v>
    <v>25.29</v>
    <v>FRG</v>
    <v>45000.939407835154</v>
    <v xml:space="preserve">Franchise Group Inc. is an owner and operator of franchised businesses. The Company operates through six segments: Vitamin Shoppe, Pet Supplies Plus, Badcock, American Freight, Buddy's, and Sylvan. The Vitamin Shoppe segment is an omnichannel specialty retailer of vitamins, minerals, herbs, specialty supplements, sports nutrition, and other health and wellness products. It markets approximately 700 brands as well as its own brands, which include The Vitamin Shoppe, BodyTech, True Athlete, plnt, and others. The Pet Supplies Plus segment is a franchisor and retailer of pet supplies and services. The Badcock segment is a specialty retailer of furniture, appliances, bedding, electronics, home office equipment, accessories and seasonal items in a showroom format. It also offers multiple and flexible payment solutions and credit options. The Sylvan segment is a franchisor of supplemental education for Pre-K-12 students and families in the United States and Canada. </v>
    <v>USD</v>
    <v>8575</v>
    <v>XNAS</v>
    <v>25.24</v>
    <v>44.77</v>
    <v>Specialty Retailers</v>
    <v>0</v>
    <v>-2.7284000000000003E-2</v>
    <v>-0.69</v>
    <v>Franchise Group</v>
    <v>Franchise Group</v>
    <v>24.72</v>
    <v>24.6</v>
    <v>109 INNOVATION COURT, SUITE J, DELAWARE, OH, 43015 US</v>
    <v>Bourse</v>
    <v>Franchise Group (XNAS:FRG)</v>
    <v>732158</v>
    <v>449702</v>
  </rv>
  <rv s="2">
    <v>1</v>
  </rv>
  <rv s="0">
    <v>https://www.bing.com/financeapi/forcetrigger?t=a1nvvh&amp;q=XNYS%3aATKR&amp;form=skydnc</v>
    <v>Learn more on Bing</v>
  </rv>
  <rv s="3">
    <v>fr-FR</v>
    <v>a1nvvh</v>
    <v>268435456</v>
    <v>1</v>
    <v>Avec Refinitiv</v>
    <v>6</v>
    <v>7</v>
    <v>Atkore (XNYS:ATKR)</v>
    <v>3</v>
    <v>8</v>
    <v>Finance</v>
    <v>5</v>
    <v>XNYS</v>
    <v>39504700</v>
    <v>2010</v>
    <v>129.34</v>
    <v>70.5</v>
    <v>2.2185999999999999</v>
    <v>5187757204</v>
    <v>New York Stock Exchange</v>
    <v>140.02000000000001</v>
    <v>ATKR</v>
    <v>45000.99316391172</v>
    <v xml:space="preserve">Atkore Inc. is a manufacturer of electrical products primarily for the non-residential construction and renovation markets, as well as residential markets, and safety and infrastructure products for the construction and industrial markets. The Company’s segments include Electrical, and Safety &amp; Infrastructure. The Electrical segment manufactures products used in the construction of electrical power systems, including conduit, cable, and installation accessories. This segment serves contractors in partnership with the electrical wholesale channel. The Safety &amp; Infrastructure segment designs and manufactures solutions, including metal framing, mechanical pipe, perimeter security, and cable management for the protection and reliability of critical infrastructure. These solutions are marketed to contractors, original equipment manufacturers, and end-users. It also offers high density polyethylene (HDPE) conduit, primarily serving telecommunications, utility, and transportation markets. </v>
    <v>USD</v>
    <v>5000</v>
    <v>XNYS</v>
    <v>136.315</v>
    <v>154.86000000000001</v>
    <v>Machinery, Equipment &amp; Components</v>
    <v>3</v>
    <v>-6.2134000000000002E-2</v>
    <v>-8.6999999999999993</v>
    <v>Atkore</v>
    <v>Atkore</v>
    <v>136.1</v>
    <v>6.4917999999999996</v>
    <v>131.32</v>
    <v>16100 SOUTH LATHROP AVENUE, HARVEY, IL, 60426 US</v>
    <v>Bourse</v>
    <v>Atkore (XNYS:ATKR)</v>
    <v>592025</v>
    <v>388686</v>
  </rv>
  <rv s="2">
    <v>4</v>
  </rv>
  <rv s="0">
    <v>https://www.bing.com/financeapi/forcetrigger?t=a1s5jc&amp;q=XNYS%3aVTOL&amp;form=skydnc</v>
    <v>Learn more on Bing</v>
  </rv>
  <rv s="3">
    <v>fr-FR</v>
    <v>a1s5jc</v>
    <v>268435456</v>
    <v>1</v>
    <v>Avec Refinitiv</v>
    <v>6</v>
    <v>7</v>
    <v>Bristow Group (XNYS:VTOL)</v>
    <v>3</v>
    <v>8</v>
    <v>Finance</v>
    <v>5</v>
    <v>XNYS</v>
    <v>28012410</v>
    <v>1999</v>
    <v>20.92</v>
    <v>20.92</v>
    <v>1.4357</v>
    <v>608429545</v>
    <v>New York Stock Exchange</v>
    <v>22.4</v>
    <v>VTOL</v>
    <v>45000.958333378905</v>
    <v>Bristow Group Inc. is a provider of flight solutions. The Company provides aviation services to national and independent energy companies. It also provides commercial search and rescue (SAR) services in multiple countries and public sector SAR services in the United Kingdom on behalf of the Maritime &amp; Coastguard Agency (MCA). The Company also offers fixed-wing transportation and other aviation related solutions. The Company owns and operates three classes of helicopters, such as heavy helicopters, medium helicopters and light helicopters. Its heavy helicopters have twin engines and passenger capacity ranging from 16 to 19. Its medium helicopters have twin engines and passenger capacity of 12. Its light helicopters have single or twin engines and a typical passenger capacity of four to seven. Its total fleet consists of approximately 229 aircraft, of which 213 were helicopters. Its fleet also includes approximately 14 fixed wing aircraft and two unmanned aerial vehicles (UAV).</v>
    <v>USD</v>
    <v>2916</v>
    <v>XNYS</v>
    <v>21.95</v>
    <v>38.47</v>
    <v>Oil &amp; Gas Related Equipment and Services</v>
    <v>6</v>
    <v>-3.0356999999999999E-2</v>
    <v>-0.68</v>
    <v>Bristow Group</v>
    <v>Bristow Group</v>
    <v>21.44</v>
    <v>38.462899999999998</v>
    <v>21.72</v>
    <v>3151 Briarpark Drive, Suite 700, HOUSTON, TX, 77042 US</v>
    <v>Bourse</v>
    <v>Bristow Group (XNYS:VTOL)</v>
    <v>187989</v>
    <v>113392</v>
  </rv>
  <rv s="2">
    <v>7</v>
  </rv>
  <rv s="0">
    <v>https://www.bing.com/financeapi/forcetrigger?t=a1wwsm&amp;q=XNAS%3aLILAK&amp;form=skydnc</v>
    <v>Learn more on Bing</v>
  </rv>
  <rv s="1">
    <v>fr-FR</v>
    <v>a1wwsm</v>
    <v>268435456</v>
    <v>1</v>
    <v>Avec Refinitiv</v>
    <v>0</v>
    <v>1</v>
    <v>Liberty Latin (XNAS:LILAK)</v>
    <v>3</v>
    <v>4</v>
    <v>Finance</v>
    <v>5</v>
    <v>XNAS</v>
    <v>215600000</v>
    <v>2017</v>
    <v>7.83</v>
    <v>5.88</v>
    <v>1.3304</v>
    <v>1780205000</v>
    <v>Nasdaq Stock Market</v>
    <v>8.23</v>
    <v>LILAK</v>
    <v>45000.903406064062</v>
    <v xml:space="preserve">Liberty Latin America Ltd is a communications company. The Company delivers communications and entertainment services to its residential and business customers include video, broadband Internet, telephony and mobile services. Its segments are C&amp;W Caribbean and C&amp;W Panama. The Company offers bundles of services, including video, broadband Internet and telephony products in one subscription. It is also focused on leveraging its full-service product suite to deliver fixed-mobile convergence offerings. Its business products and services also include enterprise-grade connectivity, data center, hosting and managed solutions, as well as information technology (IT) solutions with customers ranging from small and medium enterprises to international companies and governmental agencies. It also operates a subsea and terrestrial fiber optic cable network that connects approximately 40 markets. </v>
    <v>USD</v>
    <v>11000</v>
    <v>XNAS</v>
    <v>8.1050000000000004</v>
    <v>11.32</v>
    <v>Telecommunications Services</v>
    <v>9</v>
    <v>-3.2807000000000003E-2</v>
    <v>-0.27</v>
    <v>Liberty Latin</v>
    <v>Liberty Latin</v>
    <v>8.02</v>
    <v>7.96</v>
    <v>1550 Wewatta Street, Suite 710, DENVER, CO, 80202 US</v>
    <v>Bourse</v>
    <v>Liberty Latin (XNAS:LILAK)</v>
    <v>1</v>
    <v>1180751</v>
  </rv>
  <rv s="2">
    <v>10</v>
  </rv>
  <rv s="0">
    <v>https://www.bing.com/financeapi/forcetrigger?t=a1r32w&amp;q=XNAS%3aWBD&amp;form=skydnc</v>
    <v>Learn more on Bing</v>
  </rv>
  <rv s="3">
    <v>fr-FR</v>
    <v>a1r32w</v>
    <v>268435456</v>
    <v>1</v>
    <v>Avec Refinitiv</v>
    <v>6</v>
    <v>7</v>
    <v>WARNER BROS. DISCOVERY, INC. (XNAS:WBD)</v>
    <v>3</v>
    <v>8</v>
    <v>Finance</v>
    <v>9</v>
    <v>XNAS</v>
    <v>2430030000</v>
    <v>2008</v>
    <v>13.4</v>
    <v>8.82</v>
    <v>1.504</v>
    <v>32975507100</v>
    <v>Nasdaq Stock Market</v>
    <v>14.05</v>
    <v>WBD</v>
    <v>45000.999538483593</v>
    <v>Warner Bros. Discovery, Inc. est une société mondiale de médias et de divertissement. La Société opère à travers trois segments : Studios, Réseaux et DTC. Le segment Studios comprend la production et la sortie de longs métrages pour une première projection dans les salles, la production et la licence initiale de programmes télévisés à des tiers. Il comprend également les réseaux/services DTC, la distribution de ses films et programmes télévisés à divers services de télévision et de streaming tiers et internes, la distribution via le marché du divertissement à domicile (physique et numérique), les produits de consommation connexes et les licences d'expériences thématiques, et les jeux interactifs. Le secteur Réseaux comprend principalement ses réseaux de télévision nationaux et internationaux. Le segment DTC comprend principalement ses services premium de télévision payante et de streaming. Les marques et franchises de la société comprennent Warner Bros. Pictures Group, Warner Bros. Television Group, DC, HBO, HBO Max, Discovery Channel, discovery+ et CNN.</v>
    <v>USD</v>
    <v>37500</v>
    <v>XNAS</v>
    <v>13.85</v>
    <v>27.655000000000001</v>
    <v>Media &amp; Publishing</v>
    <v>12</v>
    <v>-3.4164E-2</v>
    <v>-0.48</v>
    <v>WARNER BROS. DISCOVERY, INC.</v>
    <v>WARNER BROS. DISCOVERY, INC.</v>
    <v>13.69</v>
    <v>7.2262000000000004</v>
    <v>13.57</v>
    <v>230 PARK AVENUE SOUTH, NEW YORK, NY, 10003 US</v>
    <v>Bourse</v>
    <v>WARNER BROS. DISCOVERY, INC. (XNAS:WBD)</v>
    <v>4539</v>
    <v>18156962</v>
  </rv>
  <rv s="2">
    <v>13</v>
  </rv>
  <rv s="0">
    <v>https://www.bing.com/financeapi/forcetrigger?t=a1yyec&amp;q=XNAS%3aNXST&amp;form=skydnc</v>
    <v>Learn more on Bing</v>
  </rv>
  <rv s="3">
    <v>fr-FR</v>
    <v>a1yyec</v>
    <v>268435456</v>
    <v>1</v>
    <v>Avec Refinitiv</v>
    <v>6</v>
    <v>7</v>
    <v>Nexstar Media (XNAS:NXST)</v>
    <v>3</v>
    <v>8</v>
    <v>Finance</v>
    <v>5</v>
    <v>XNAS</v>
    <v>36769790</v>
    <v>2001</v>
    <v>159.02000000000001</v>
    <v>151.01</v>
    <v>1.5135000000000001</v>
    <v>5899712805</v>
    <v>Nasdaq Stock Market</v>
    <v>165.53</v>
    <v>NXST</v>
    <v>45000.969595450784</v>
    <v>Nexstar Media Group, Inc. (Nexstar) is a media company with television broadcasting, television network and digital media assets, interactive community Websites and digital media services. Its segment includes Broadcast and Other. The Broadcast segment includes television stations and related community-focused websites that Nexstar owns, operates, programs or provides sales and other services in various markets across the United States; NewsNation, a live daily national newscast and a national general entertainment cable network, digital multicast network services; two owned and operated digital multicast networks and other multicast network services, and WGN-AM, a Chicago radio station. The Other segment includes corporate functions, the management of certain real estate assets and digital businesses. It owns, operates, programs or provided sales and other services to 199 full-power television stations and one AM radio station. Nexstar has an interest in The CW Network, LLC.</v>
    <v>USD</v>
    <v>11666</v>
    <v>XNAS</v>
    <v>164.49</v>
    <v>217.76</v>
    <v>Media &amp; Publishing</v>
    <v>15</v>
    <v>-3.0689000000000001E-2</v>
    <v>-5.08</v>
    <v>Nexstar Media</v>
    <v>Nexstar Media</v>
    <v>162.11000000000001</v>
    <v>6.6416000000000004</v>
    <v>160.44999999999999</v>
    <v>545 E John Carpenter Fwy Ste 700, IRVING, TX, 75062-3932 US</v>
    <v>Bourse</v>
    <v>Nexstar Media (XNAS:NXST)</v>
    <v>4</v>
    <v>448795</v>
  </rv>
  <rv s="2">
    <v>16</v>
  </rv>
  <rv s="0">
    <v>https://www.bing.com/financeapi/forcetrigger?t=a1vhzr&amp;q=XNAS%3aHROW&amp;form=skydnc</v>
    <v>Learn more on Bing</v>
  </rv>
  <rv s="3">
    <v>fr-FR</v>
    <v>a1vhzr</v>
    <v>268435456</v>
    <v>1</v>
    <v>Avec Refinitiv</v>
    <v>6</v>
    <v>7</v>
    <v>HARROW HEALTH, INC. (XNAS:HROW)</v>
    <v>3</v>
    <v>8</v>
    <v>Finance</v>
    <v>5</v>
    <v>XNAS</v>
    <v>29450730</v>
    <v>2006</v>
    <v>17.14</v>
    <v>5.4</v>
    <v>0.15679999999999999</v>
    <v>512148194</v>
    <v>Nasdaq Stock Market</v>
    <v>18.75</v>
    <v>HROW</v>
    <v>45000.845514664063</v>
    <v>Harrow Health, Inc. est une société de soins de santé axée sur l'ophtalmologie. La Société possède et exploite ImprimisRx, une entreprise pharmaceutique axée sur l'ophtalmologie, et Visionology, une filiale de soins oculaires directe aux consommateurs axée sur les maladies oculaires chroniques. La Société détient des participations ne donnant pas le contrôle dans Eton Pharmaceuticals, Surface Ophthalmics et Melt Pharmaceuticals. La Société détient également des droits de redevance sur quatre candidats-médicaments au stade clinique, qui sont développés par Surface Ophthalmics et Melt Pharmaceuticals.</v>
    <v>USD</v>
    <v>182</v>
    <v>XNAS</v>
    <v>18.7</v>
    <v>20.3093</v>
    <v>Pharmaceuticals</v>
    <v>18</v>
    <v>-7.2533E-2</v>
    <v>-1.36</v>
    <v>HARROW HEALTH, INC.</v>
    <v>HARROW HEALTH, INC.</v>
    <v>18.53</v>
    <v>41.807299999999998</v>
    <v>17.39</v>
    <v>102 WOODMONT BLVD, SUITE 610, NASHVILLE, TN, 37215 US</v>
    <v>Bourse</v>
    <v>HARROW HEALTH, INC. (XNAS:HROW)</v>
    <v>1</v>
    <v>424492</v>
  </rv>
  <rv s="2">
    <v>19</v>
  </rv>
  <rv s="0">
    <v>https://www.bing.com/financeapi/forcetrigger?t=c1w7rw&amp;q=XNYS%3aPL&amp;form=skydnc</v>
    <v>Learn more on Bing</v>
  </rv>
  <rv s="1">
    <v>fr-FR</v>
    <v>c1w7rw</v>
    <v>268435456</v>
    <v>1</v>
    <v>Avec Refinitiv</v>
    <v>0</v>
    <v>1</v>
    <v>Planet Labs (XNYS:PL)</v>
    <v>3</v>
    <v>4</v>
    <v>Finance</v>
    <v>9</v>
    <v>XNYS</v>
    <v>272104000</v>
    <v>2020</v>
    <v>3.93</v>
    <v>3.7008000000000001</v>
    <v>1.42</v>
    <v>1107464000</v>
    <v>New York Stock Exchange</v>
    <v>4.07</v>
    <v>PL</v>
    <v>45000.976494628907</v>
    <v>Planet Labs PBC, formerly dMY Technology Group, Inc. IV, is a provider of global, daily satellite imagery and geospatial solutions. The Company designs, builds, and operates the Earth observation fleet of imaging satellites, capturing, and compiling data from over three million images per day. The Company’s automated, cloud-native platform processes and manages data catalogue and extracts information. The Company’s platform includes imagery, insights, and machine learning that enables companies, governments, and communities around the world to make decisions about evolving world. Its platform and analytics products include Planet Application Programming Interfaces (APIs), Planet Applications, Planet Basemaps, Planet Fusion, and Planet Analytics Feeds. The Company provides mission-critical data, advanced insights, and software solutions, across agriculture, forestry, intelligence, education and finance companies and government agencies, enabling users to derive satellite imagery.</v>
    <v>USD</v>
    <v>700</v>
    <v>XNYS</v>
    <v>4.03</v>
    <v>7.5149999999999997</v>
    <v>Aerospace &amp; Defense</v>
    <v>21</v>
    <v>-1.4742E-2</v>
    <v>-0.06</v>
    <v>Planet Labs</v>
    <v>Planet Labs</v>
    <v>3.99</v>
    <v>4.01</v>
    <v>645 Harrison Street, Floor 4, SAN FRANCISCO, CA, 94107 US</v>
    <v>Bourse</v>
    <v>Planet Labs (XNYS:PL)</v>
    <v>103</v>
    <v>1286812</v>
  </rv>
  <rv s="2">
    <v>22</v>
  </rv>
  <rv s="0">
    <v>https://www.bing.com/financeapi/forcetrigger?t=aaxw8m&amp;q=XTSE%3aECN&amp;form=skydnc</v>
    <v>Learn more on Bing</v>
  </rv>
  <rv s="4">
    <v>fr-FR</v>
    <v>aaxw8m</v>
    <v>268435456</v>
    <v>1</v>
    <v>Avec Refinitiv</v>
    <v>10</v>
    <v>11</v>
    <v>ECN Capital Corp. (XTSE:ECN)</v>
    <v>3</v>
    <v>12</v>
    <v>Finance</v>
    <v>13</v>
    <v>XTSE</v>
    <v>245382600</v>
    <v>2016</v>
    <v>3.43</v>
    <v>2.57</v>
    <v>1.1701999999999999</v>
    <v>868654404</v>
    <v>Toronto Stock Exchange</v>
    <v>0</v>
    <v>0</v>
    <v>3.61</v>
    <v>ECN</v>
    <v>45000.833333333336</v>
    <v>ECN Capital Corp. est un fournisseur de services commerciaux aux banques, coopératives de crédit, compagnies d'assurance-vie, fonds de pension et fonds d'investissement (partenaires) basés en Amérique du Nord. La Société crée, gère et conseille des actifs de crédit pour le compte de ses partenaires, principalement dans des portefeuilles de prêts garantis dans le secteur des maisons préfabriquées et des activités maritimes et de véhicules récréatifs. Ces services sont offerts par l'intermédiaire de trois entreprises opérationnelles, telles que Triad Financial Services, Source One Financial Services et Intercoastal Finance Group. Triad Financial Services est une plateforme de solutions de portefeuille axée sur la création et la gestion de portefeuilles de prêts à la consommation garantis de plus longue durée pour plus de 50 partenaires. Source One Financial Services est un fournisseur de programmes de prêts à la consommation et de solutions de financement et d'assurance externalisées pour les industries des véhicules marins et de loisirs. Intercoastal Finance Group émet des prêts de premier ordre et super-prime pour le compte de plus de 18 partenaires bancaires.</v>
    <v>CAD</v>
    <v>462</v>
    <v>XTSE</v>
    <v>3.57</v>
    <v>7.2850000000000001</v>
    <v>Banking Services</v>
    <v>24</v>
    <v>-1.9391000000000002E-2</v>
    <v>-7.0000000000000007E-2</v>
    <v>ECN Capital Corp.</v>
    <v>ECN Capital Corp.</v>
    <v>3.53</v>
    <v>141.93</v>
    <v>3.54</v>
    <v>3.54</v>
    <v>161 Bay Street, Suite 2800, TORONTO, ON, M5J 2S1 CA</v>
    <v>Bourse</v>
    <v>ECN Capital Corp. (XTSE:ECN)</v>
    <v>2044627</v>
    <v>2230670</v>
  </rv>
  <rv s="2">
    <v>25</v>
  </rv>
  <rv s="0">
    <v>https://www.bing.com/financeapi/forcetrigger?t=a1mocw&amp;q=XNYS%3aAAMC&amp;form=skydnc</v>
    <v>Learn more on Bing</v>
  </rv>
  <rv s="3">
    <v>fr-FR</v>
    <v>a1mocw</v>
    <v>268435456</v>
    <v>1</v>
    <v>Avec Refinitiv</v>
    <v>6</v>
    <v>7</v>
    <v>Altisour Ast Mgt (XNYS:AAMC)</v>
    <v>3</v>
    <v>8</v>
    <v>Finance</v>
    <v>5</v>
    <v>XNYS</v>
    <v>1777200</v>
    <v>2012</v>
    <v>51.11</v>
    <v>8.65</v>
    <v>1.7572000000000001</v>
    <v>97728500</v>
    <v>New York Stock Exchange</v>
    <v>54.99</v>
    <v>AAMC</v>
    <v>45001.000000173437</v>
    <v xml:space="preserve">Altisource Asset Management Corporation is an alternative lending company that provides liquidity and capital to under-served markets. The Company has created the Alternative Lending Group (ALG) and focuses on pursuing an opportunity related to Crypto ATMs. Its principal offices are located in the United States Virgin Islands, and it also has operations in the United States and India, through its subsidiaries, AAMC US, Inc., and Finsight Business Solutions Private Limited. Its other subsidiaries include Altisource Consulting S.a r.l, NewSource Reinsurance Company Ltd., AAMC CM WY, LLC, AAMC EBO Fund Holdings, LLC, AAMC GP, LLC, and Grapetree Lending LLC, among others. </v>
    <v>USD</v>
    <v>24</v>
    <v>XNYS</v>
    <v>54.49</v>
    <v>61</v>
    <v>Real Estate Operations</v>
    <v>27</v>
    <v>-3.8734000000000005E-2</v>
    <v>-2.13</v>
    <v>Altisour Ast Mgt</v>
    <v>Altisour Ast Mgt</v>
    <v>54</v>
    <v>8.8348999999999993</v>
    <v>52.86</v>
    <v>5100 Tamarind Reef, CHRISTIANSTED, 00820-4849 VI</v>
    <v>Bourse</v>
    <v>Altisour Ast Mgt (XNYS:AAMC)</v>
    <v>32040</v>
    <v>17007</v>
  </rv>
  <rv s="2">
    <v>28</v>
  </rv>
  <rv s="5">
    <v>12</v>
    <v>Prix</v>
    <v>0</v>
  </rv>
  <rv s="6">
    <v>12</v>
    <v>1</v>
  </rv>
  <rv s="5">
    <v>12</v>
    <v>Code mnémonique</v>
    <v>0</v>
  </rv>
</rvData>
</file>

<file path=xl/richData/rdrichvaluestructure.xml><?xml version="1.0" encoding="utf-8"?>
<rvStructures xmlns="http://schemas.microsoft.com/office/spreadsheetml/2017/richdata" count="7">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rix"/>
    <k n="Sièges sociaux" t="s"/>
    <k n="Type d'instrument" t="s"/>
    <k n="UniqueName" t="s"/>
    <k n="Volume"/>
    <k n="Volume moyen"/>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Sièges sociaux" t="s"/>
    <k n="Type d'instrument" t="s"/>
    <k n="UniqueName" t="s"/>
    <k n="Volume"/>
    <k n="Volume moyen"/>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hangement (horaires prolongés)"/>
    <k n="Changement en % (horaires prolongé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Prix (horaires prolongés)"/>
    <k n="Sièges sociaux" t="s"/>
    <k n="Type d'instrument" t="s"/>
    <k n="UniqueName" t="s"/>
    <k n="Volume"/>
    <k n="Volume moyen"/>
  </s>
  <s t="_error">
    <k n="errorType" t="i"/>
    <k n="field" t="s"/>
    <k n="subType" t="i"/>
  </s>
  <s t="_error">
    <k n="errorType" t="i"/>
    <k n="propagated" t="b"/>
  </s>
</rvStructures>
</file>

<file path=xl/richData/rdsupportingpropertybag.xml><?xml version="1.0" encoding="utf-8"?>
<supportingPropertyBags xmlns="http://schemas.microsoft.com/office/spreadsheetml/2017/richdata2">
  <spbArrays count="3">
    <a count="42">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Actions en circulation</v>
      <v t="s">Description</v>
      <v t="s">Employés</v>
      <v t="s">Sièges sociaux</v>
      <v t="s">Industrie</v>
      <v t="s">Type d'instrument</v>
      <v t="s">Année de constitution</v>
      <v t="s">_Flags</v>
      <v t="s">UniqueName</v>
      <v t="s">_DisplayString</v>
      <v t="s">LearnMoreOnLink</v>
      <v t="s">ExchangeID</v>
      <v t="s">%ProviderInfo</v>
    </a>
    <a count="43">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46">
      <v t="s">%EntityServiceId</v>
      <v t="s">_Format</v>
      <v t="s">%IsRefreshable</v>
      <v t="s">_CanonicalPropertyNames</v>
      <v t="s">%EntityCulture</v>
      <v t="s">%EntityId</v>
      <v t="s">_Icon</v>
      <v t="s">_Display</v>
      <v t="s">Nom</v>
      <v t="s">_SubLabel</v>
      <v t="s">Prix</v>
      <v t="s">Prix (horaires prolongés)</v>
      <v t="s">Change</v>
      <v t="s">Nom officiel</v>
      <v t="s">Dernière heure d'échange</v>
      <v t="s">Code mnémonique</v>
      <v t="s">Abréviation de change</v>
      <v t="s">Modifier</v>
      <v t="s">Changement (horaires prolongés)</v>
      <v t="s">Modification (%)</v>
      <v t="s">Changement en % (horaires prolongés)</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spbArrays>
  <spbData count="14">
    <spb s="0">
      <v>Low</v>
      <v>Name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0</v>
      <v>Name</v>
      <v>LearnMoreOnLink</v>
    </spb>
    <spb s="2">
      <v>0</v>
      <v>0</v>
      <v>0</v>
    </spb>
    <spb s="3">
      <v>2</v>
      <v>2</v>
      <v>2</v>
      <v>2</v>
    </spb>
    <spb s="4">
      <v>1</v>
      <v>2</v>
      <v>3</v>
      <v>1</v>
      <v>1</v>
      <v>1</v>
      <v>4</v>
      <v>4</v>
      <v>1</v>
      <v>4</v>
      <v>5</v>
      <v>6</v>
      <v>1</v>
      <v>7</v>
      <v>4</v>
      <v>1</v>
      <v>1</v>
      <v>8</v>
      <v>9</v>
    </spb>
    <spb s="5">
      <v>Différé de 15 minutes</v>
      <v xml:space="preserve">depuis la clôture précédente </v>
      <v>Source: Nasdaq</v>
      <v xml:space="preserve">depuis la clôture précédente </v>
      <v>GMT</v>
    </spb>
    <spb s="6">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1</v>
      <v>Name</v>
      <v>LearnMoreOnLink</v>
    </spb>
    <spb s="7">
      <v>1</v>
      <v>2</v>
      <v>3</v>
      <v>3</v>
      <v>1</v>
      <v>1</v>
      <v>1</v>
      <v>4</v>
      <v>4</v>
      <v>1</v>
      <v>4</v>
      <v>5</v>
      <v>6</v>
      <v>1</v>
      <v>7</v>
      <v>4</v>
      <v>1</v>
      <v>1</v>
      <v>8</v>
      <v>9</v>
    </spb>
    <spb s="5">
      <v>En temps réel  Nasdaq Dernière vente</v>
      <v xml:space="preserve">depuis la clôture précédente </v>
      <v>Source: Nasdaq Dernière vente</v>
      <v xml:space="preserve">depuis la clôture précédente </v>
      <v>GMT</v>
    </spb>
    <spb s="8">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v>Price (Extended hours)</v>
      <v>Change (Extended hours)</v>
      <v>Change % (Extended hours)</v>
    </spb>
    <spb s="1">
      <v>2</v>
      <v>Name</v>
      <v>LearnMoreOnLink</v>
    </spb>
    <spb s="9">
      <v>10</v>
      <v>2</v>
      <v>3</v>
      <v>3</v>
      <v>10</v>
      <v>10</v>
      <v>10</v>
      <v>4</v>
      <v>4</v>
      <v>10</v>
      <v>4</v>
      <v>5</v>
      <v>6</v>
      <v>10</v>
      <v>7</v>
      <v>4</v>
      <v>10</v>
      <v>10</v>
      <v>11</v>
      <v>9</v>
      <v>10</v>
      <v>10</v>
      <v>5</v>
    </spb>
    <spb s="10">
      <v xml:space="preserve">à la clôture </v>
      <v xml:space="preserve">depuis la clôture précédente </v>
      <v xml:space="preserve">depuis la clôture précédente </v>
      <v>GMT</v>
      <v>Différé de 20 minutes</v>
      <v xml:space="preserve">depuis la clôture </v>
      <v xml:space="preserve">depuis la clôture </v>
    </spb>
  </spbData>
</supportingPropertyBags>
</file>

<file path=xl/richData/rdsupportingpropertybagstructure.xml><?xml version="1.0" encoding="utf-8"?>
<spbStructures xmlns="http://schemas.microsoft.com/office/spreadsheetml/2017/richdata2" count="11">
  <s>
    <k n="Bas" t="s"/>
    <k n="Nom"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Order" t="spba"/>
    <k n="TitleProperty" t="s"/>
    <k n="SubTitleProperty" t="s"/>
  </s>
  <s>
    <k n="ShowInCardView" t="b"/>
    <k n="ShowInDotNotation" t="b"/>
    <k n="ShowInAutoComplete" t="b"/>
  </s>
  <s>
    <k n="ExchangeID" t="spb"/>
    <k n="UniqueName" t="spb"/>
    <k n="`%ProviderInfo" t="spb"/>
    <k n="LearnMoreOnLink" t="spb"/>
  </s>
  <s>
    <k n="Bas" t="i"/>
    <k n="Nom"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Prix" t="s"/>
    <k n="Modifier" t="s"/>
    <k n="ExchangeID" t="s"/>
    <k n="Modification (%)" t="s"/>
    <k n="Dernière heure d'échange" t="s"/>
  </s>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k n="Prix (horaires prolongés)" t="s"/>
    <k n="Changement (horaires prolongés)" t="s"/>
    <k n="Changement en % (horaires prolongés)" t="s"/>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k n="Prix (horaires prolongés)" t="i"/>
    <k n="Changement (horaires prolongés)" t="i"/>
    <k n="Changement en % (horaires prolongés)" t="i"/>
  </s>
  <s>
    <k n="Prix" t="s"/>
    <k n="Modifier" t="s"/>
    <k n="Modification (%)" t="s"/>
    <k n="Dernière heure d'échange" t="s"/>
    <k n="Prix (horaires prolongés)" t="s"/>
    <k n="Changement (horaires prolongés)" t="s"/>
    <k n="Changement en % (horaires prolongé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0" formatCode="General"/>
    </x:dxf>
    <x:dxf>
      <x:numFmt numFmtId="4" formatCode="#,##0.00"/>
    </x:dxf>
    <x:dxf>
      <x:numFmt numFmtId="3" formatCode="#,##0"/>
    </x:dxf>
    <x:dxf>
      <x:numFmt numFmtId="14" formatCode="0.00%"/>
    </x:dxf>
    <x:dxf>
      <x:numFmt numFmtId="2" formatCode="0.00"/>
    </x:dxf>
    <x:dxf>
      <x:numFmt numFmtId="27" formatCode="yyyy/mm/dd\ h:mm"/>
    </x:dxf>
    <x:dxf>
      <x:numFmt numFmtId="1" formatCode="0"/>
    </x:dxf>
  </dxfs>
  <richProperties>
    <rPr n="NumberFormat" t="s"/>
    <rPr n="IsTitleField" t="b"/>
  </richProperties>
  <richStyles>
    <rSty dxfid="0">
      <rpv i="0">_([$$-en-US]* #,##0.00_);_([$$-en-US]* (#,##0.00);_([$$-en-US]* "-"??_);_(@_)</rpv>
    </rSty>
    <rSty>
      <rpv i="1">1</rpv>
    </rSty>
    <rSty dxfid="1">
      <rpv i="0">#,##0.00</rpv>
    </rSty>
    <rSty dxfid="2">
      <rpv i="0">#,##0</rpv>
    </rSty>
    <rSty dxfid="3"/>
    <rSty dxfid="4">
      <rpv i="0">0.00</rpv>
    </rSty>
    <rSty dxfid="6">
      <rpv i="0">0</rpv>
    </rSty>
    <rSty dxfid="0">
      <rpv i="0">_([$$-en-US]* #,##0_);_([$$-en-US]* (#,##0);_([$$-en-US]* "-"_);_(@_)</rpv>
    </rSty>
    <rSty dxfid="5"/>
    <rSty dxfid="0">
      <rpv i="0">_-[$$-en-CA]* #,##0.00_-;-[$$-en-CA]* #,##0.00_-;_-[$$-en-CA]* "-"??_-;_-@_-</rpv>
    </rSty>
    <rSty dxfid="0">
      <rpv i="0">_-[$$-en-CA]* #,##0_-;-[$$-en-CA]* #,##0_-;_-[$$-en-CA]*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7DDD-C786-4F02-A729-C31E6D261D5D}">
  <sheetPr codeName="Sheet3"/>
  <dimension ref="A1:V31"/>
  <sheetViews>
    <sheetView tabSelected="1" topLeftCell="A33" zoomScale="60" zoomScaleNormal="60" workbookViewId="0">
      <selection activeCell="S56" sqref="S56"/>
    </sheetView>
  </sheetViews>
  <sheetFormatPr defaultRowHeight="13.2"/>
  <cols>
    <col min="1" max="1" width="45.3984375" style="3" bestFit="1" customWidth="1"/>
    <col min="2" max="2" width="11.5" style="3" bestFit="1" customWidth="1"/>
    <col min="3" max="3" width="11.09765625" style="3" bestFit="1" customWidth="1"/>
    <col min="4" max="4" width="13.5" style="3" bestFit="1" customWidth="1"/>
    <col min="5" max="5" width="16.69921875" style="3" bestFit="1" customWidth="1"/>
    <col min="6" max="6" width="17.69921875" style="3" bestFit="1" customWidth="1"/>
    <col min="7" max="7" width="8.796875" style="3"/>
    <col min="8" max="8" width="9.09765625" style="3" customWidth="1"/>
    <col min="9" max="9" width="11.5" style="3" customWidth="1"/>
    <col min="10" max="10" width="16.5" style="3" bestFit="1" customWidth="1"/>
    <col min="11" max="11" width="12.3984375" style="3" customWidth="1"/>
    <col min="12" max="12" width="14.69921875" style="3" customWidth="1"/>
    <col min="13" max="13" width="6.5" style="3" hidden="1" customWidth="1"/>
    <col min="14" max="14" width="9.3984375" style="3" bestFit="1" customWidth="1"/>
    <col min="15" max="16384" width="8.796875" style="3"/>
  </cols>
  <sheetData>
    <row r="1" spans="1:22" s="29" customFormat="1" ht="126.6" customHeight="1">
      <c r="B1" s="29" t="s">
        <v>28</v>
      </c>
      <c r="C1" s="31" t="s">
        <v>37</v>
      </c>
      <c r="D1" s="31" t="s">
        <v>38</v>
      </c>
      <c r="E1" s="31" t="s">
        <v>27</v>
      </c>
      <c r="F1" s="31" t="s">
        <v>26</v>
      </c>
      <c r="G1" s="31" t="s">
        <v>25</v>
      </c>
      <c r="H1" s="31" t="s">
        <v>24</v>
      </c>
      <c r="I1" s="30" t="s">
        <v>23</v>
      </c>
      <c r="J1" s="31" t="s">
        <v>22</v>
      </c>
      <c r="K1" s="30" t="s">
        <v>21</v>
      </c>
      <c r="L1" s="30" t="s">
        <v>20</v>
      </c>
      <c r="T1" s="37"/>
      <c r="U1" s="37"/>
      <c r="V1" s="37"/>
    </row>
    <row r="2" spans="1:22" ht="15.6">
      <c r="A2" s="28" t="e" vm="1">
        <v>#VALUE!</v>
      </c>
      <c r="B2" s="25" cm="1">
        <f t="array" ref="B2">_FV(A2,"Prix")</f>
        <v>24.6</v>
      </c>
      <c r="C2" s="40">
        <v>125</v>
      </c>
      <c r="D2" s="43">
        <f>(100-((40-20)/(MAX($N$2:$N$11)-1)*(N2-1)+20))/100*B2</f>
        <v>17.493333333333336</v>
      </c>
      <c r="E2" s="23">
        <v>0.65</v>
      </c>
      <c r="F2" s="15">
        <f t="shared" ref="F2:F21" si="0">1-E2</f>
        <v>0.35</v>
      </c>
      <c r="G2" s="15">
        <f t="shared" ref="G2:G21" si="1">(C2/B2)-1</f>
        <v>4.0813008130081299</v>
      </c>
      <c r="H2" s="15">
        <f t="shared" ref="H2:H21" si="2">1-(D2/B2)</f>
        <v>0.28888888888888886</v>
      </c>
      <c r="I2" s="22">
        <v>0.13278892657392191</v>
      </c>
      <c r="J2" s="21">
        <f t="shared" ref="J2:J21" si="3">(E2/H2-F2/G2)</f>
        <v>2.1642430278884466</v>
      </c>
      <c r="K2" s="20">
        <f t="shared" ref="K2:K21" si="4">((1+J2*G2)^E2*(1-J2*H2)^F2)</f>
        <v>3.1337419374179789</v>
      </c>
      <c r="L2" s="20">
        <f t="shared" ref="L2:L21" si="5">((1+G2)^E2*(1-H2)^F2)</f>
        <v>2.5530645856855569</v>
      </c>
      <c r="M2" s="3" t="str" cm="1">
        <f t="array" ref="M2">_FV(A2,"Code mnémonique",TRUE)</f>
        <v>FRG</v>
      </c>
      <c r="N2" s="36">
        <v>5</v>
      </c>
      <c r="O2" s="9"/>
      <c r="P2" s="4" t="s">
        <v>18</v>
      </c>
      <c r="T2" s="38"/>
      <c r="U2" s="39"/>
      <c r="V2" s="38"/>
    </row>
    <row r="3" spans="1:22" ht="15.6">
      <c r="A3" s="27" t="e" vm="2">
        <v>#VALUE!</v>
      </c>
      <c r="B3" s="25" cm="1">
        <f t="array" ref="B3">_FV(A3,"Prix")</f>
        <v>131.32</v>
      </c>
      <c r="C3" s="40">
        <v>300</v>
      </c>
      <c r="D3" s="43">
        <f t="shared" ref="D3:D11" si="6">(100-((40-20)/(MAX($N$2:$N$11)-1)*(N3-1)+20))/100*B3</f>
        <v>105.056</v>
      </c>
      <c r="E3" s="23">
        <v>0.7</v>
      </c>
      <c r="F3" s="15">
        <f t="shared" si="0"/>
        <v>0.30000000000000004</v>
      </c>
      <c r="G3" s="15">
        <f t="shared" si="1"/>
        <v>1.284495887907402</v>
      </c>
      <c r="H3" s="15">
        <f t="shared" si="2"/>
        <v>0.19999999999999996</v>
      </c>
      <c r="I3" s="22">
        <v>4.447275378847268E-2</v>
      </c>
      <c r="J3" s="21">
        <f t="shared" si="3"/>
        <v>3.2664453402893057</v>
      </c>
      <c r="K3" s="20">
        <f t="shared" si="4"/>
        <v>2.3064454679705846</v>
      </c>
      <c r="L3" s="20">
        <f t="shared" si="5"/>
        <v>1.6675553672786285</v>
      </c>
      <c r="M3" s="3" t="str" cm="1">
        <f t="array" ref="M3">_FV(A3,"Code mnémonique",TRUE)</f>
        <v>ATKR</v>
      </c>
      <c r="N3" s="3">
        <v>1</v>
      </c>
      <c r="O3" s="8"/>
      <c r="P3" s="4" t="s">
        <v>17</v>
      </c>
      <c r="T3" s="38"/>
      <c r="U3" s="39"/>
      <c r="V3" s="38"/>
    </row>
    <row r="4" spans="1:22" ht="15.6">
      <c r="A4" s="27" t="e" vm="3">
        <v>#VALUE!</v>
      </c>
      <c r="B4" s="25" cm="1">
        <f t="array" ref="B4">_FV(A4,"Prix")</f>
        <v>21.72</v>
      </c>
      <c r="C4" s="40">
        <v>75</v>
      </c>
      <c r="D4" s="43">
        <f t="shared" si="6"/>
        <v>13.997333333333332</v>
      </c>
      <c r="E4" s="23">
        <v>0.65</v>
      </c>
      <c r="F4" s="15">
        <f t="shared" si="0"/>
        <v>0.35</v>
      </c>
      <c r="G4" s="15">
        <f t="shared" si="1"/>
        <v>2.4530386740331496</v>
      </c>
      <c r="H4" s="15">
        <f t="shared" si="2"/>
        <v>0.35555555555555562</v>
      </c>
      <c r="I4" s="22">
        <v>6.650123727418078E-2</v>
      </c>
      <c r="J4" s="21">
        <f t="shared" si="3"/>
        <v>1.6854448198198195</v>
      </c>
      <c r="K4" s="20">
        <f t="shared" si="4"/>
        <v>2.1029071782162267</v>
      </c>
      <c r="L4" s="20">
        <f t="shared" si="5"/>
        <v>1.918871343146406</v>
      </c>
      <c r="M4" s="3" t="str" cm="1">
        <f t="array" ref="M4">_FV(A4,"Code mnémonique",TRUE)</f>
        <v>VTOL</v>
      </c>
      <c r="N4" s="3">
        <v>8</v>
      </c>
      <c r="O4" s="7"/>
      <c r="P4" s="4" t="s">
        <v>16</v>
      </c>
      <c r="T4" s="38"/>
      <c r="U4" s="39"/>
      <c r="V4" s="38"/>
    </row>
    <row r="5" spans="1:22" ht="15.6">
      <c r="A5" s="27" t="e" vm="4">
        <v>#VALUE!</v>
      </c>
      <c r="B5" s="25" cm="1">
        <f t="array" ref="B5">_FV(A5,"Prix")</f>
        <v>7.96</v>
      </c>
      <c r="C5" s="40">
        <v>20</v>
      </c>
      <c r="D5" s="43">
        <f t="shared" si="6"/>
        <v>4.9528888888888893</v>
      </c>
      <c r="E5" s="23">
        <v>0.65</v>
      </c>
      <c r="F5" s="15">
        <f t="shared" si="0"/>
        <v>0.35</v>
      </c>
      <c r="G5" s="15">
        <f t="shared" si="1"/>
        <v>1.512562814070352</v>
      </c>
      <c r="H5" s="15">
        <f t="shared" si="2"/>
        <v>0.37777777777777777</v>
      </c>
      <c r="I5" s="22">
        <v>3.6031329550811932E-2</v>
      </c>
      <c r="J5" s="21">
        <f t="shared" si="3"/>
        <v>1.4891928864569084</v>
      </c>
      <c r="K5" s="20">
        <f t="shared" si="4"/>
        <v>1.6115886342297241</v>
      </c>
      <c r="L5" s="20">
        <f t="shared" si="5"/>
        <v>1.5415475817541588</v>
      </c>
      <c r="M5" s="3" t="str" cm="1">
        <f t="array" ref="M5">_FV(A5,"Code mnémonique",TRUE)</f>
        <v>LILAK</v>
      </c>
      <c r="N5" s="3">
        <v>9</v>
      </c>
      <c r="O5" s="6"/>
      <c r="P5" s="4" t="s">
        <v>34</v>
      </c>
      <c r="T5" s="38"/>
      <c r="U5" s="39"/>
      <c r="V5" s="38"/>
    </row>
    <row r="6" spans="1:22" ht="15.6">
      <c r="A6" s="27" t="e" vm="5">
        <v>#VALUE!</v>
      </c>
      <c r="B6" s="25" cm="1">
        <f t="array" ref="B6">_FV(A6,"Prix")</f>
        <v>13.57</v>
      </c>
      <c r="C6" s="40">
        <v>75</v>
      </c>
      <c r="D6" s="43">
        <f t="shared" si="6"/>
        <v>9.9513333333333325</v>
      </c>
      <c r="E6" s="23">
        <v>0.6</v>
      </c>
      <c r="F6" s="15">
        <f t="shared" si="0"/>
        <v>0.4</v>
      </c>
      <c r="G6" s="15">
        <f t="shared" si="1"/>
        <v>4.5268975681650696</v>
      </c>
      <c r="H6" s="15">
        <f t="shared" si="2"/>
        <v>0.26666666666666672</v>
      </c>
      <c r="I6" s="22">
        <v>0.13555267868707005</v>
      </c>
      <c r="J6" s="21">
        <f t="shared" si="3"/>
        <v>2.1616392642031577</v>
      </c>
      <c r="K6" s="20">
        <f t="shared" si="4"/>
        <v>2.9544169870819208</v>
      </c>
      <c r="L6" s="20">
        <f t="shared" si="5"/>
        <v>2.4638225166391452</v>
      </c>
      <c r="M6" s="3" t="str" cm="1">
        <f t="array" ref="M6">_FV(A6,"Code mnémonique",TRUE)</f>
        <v>WBD</v>
      </c>
      <c r="N6" s="3">
        <v>4</v>
      </c>
      <c r="O6" s="5"/>
      <c r="P6" s="4" t="s">
        <v>15</v>
      </c>
      <c r="T6" s="38"/>
      <c r="U6" s="39"/>
      <c r="V6" s="38"/>
    </row>
    <row r="7" spans="1:22" ht="15.6">
      <c r="A7" s="27" t="e" vm="6">
        <v>#VALUE!</v>
      </c>
      <c r="B7" s="25" cm="1">
        <f t="array" ref="B7">_FV(A7,"Prix")</f>
        <v>160.44999999999999</v>
      </c>
      <c r="C7" s="40">
        <v>400</v>
      </c>
      <c r="D7" s="43">
        <f t="shared" si="6"/>
        <v>124.79444444444442</v>
      </c>
      <c r="E7" s="23">
        <v>0.7</v>
      </c>
      <c r="F7" s="15">
        <f t="shared" si="0"/>
        <v>0.30000000000000004</v>
      </c>
      <c r="G7" s="15">
        <f t="shared" si="1"/>
        <v>1.4929884699283269</v>
      </c>
      <c r="H7" s="15">
        <f t="shared" si="2"/>
        <v>0.22222222222222232</v>
      </c>
      <c r="I7" s="22">
        <v>7.8016374560665014E-2</v>
      </c>
      <c r="J7" s="21">
        <f t="shared" si="3"/>
        <v>2.9490607388854087</v>
      </c>
      <c r="K7" s="20">
        <f t="shared" si="4"/>
        <v>2.3662155454104457</v>
      </c>
      <c r="L7" s="20">
        <f t="shared" si="5"/>
        <v>1.7577651432661774</v>
      </c>
      <c r="M7" s="3" t="str" cm="1">
        <f t="array" ref="M7">_FV(A7,"Code mnémonique",TRUE)</f>
        <v>NXST</v>
      </c>
      <c r="N7" s="3">
        <v>2</v>
      </c>
      <c r="T7" s="38"/>
      <c r="U7" s="39"/>
      <c r="V7" s="38"/>
    </row>
    <row r="8" spans="1:22" ht="15.6">
      <c r="A8" s="27" t="e" vm="7">
        <v>#VALUE!</v>
      </c>
      <c r="B8" s="25" cm="1">
        <f t="array" ref="B8">_FV(A8,"Prix")</f>
        <v>17.39</v>
      </c>
      <c r="C8" s="40">
        <v>100</v>
      </c>
      <c r="D8" s="43">
        <f t="shared" si="6"/>
        <v>13.139111111111111</v>
      </c>
      <c r="E8" s="23">
        <v>0.65</v>
      </c>
      <c r="F8" s="15">
        <f t="shared" si="0"/>
        <v>0.35</v>
      </c>
      <c r="G8" s="15">
        <f t="shared" si="1"/>
        <v>4.7504312823461756</v>
      </c>
      <c r="H8" s="15">
        <f t="shared" si="2"/>
        <v>0.24444444444444446</v>
      </c>
      <c r="I8" s="22">
        <v>0.14994629313020319</v>
      </c>
      <c r="J8" s="21">
        <f t="shared" si="3"/>
        <v>2.5854133882096599</v>
      </c>
      <c r="K8" s="20">
        <f t="shared" si="4"/>
        <v>3.7858945155844506</v>
      </c>
      <c r="L8" s="20">
        <f t="shared" si="5"/>
        <v>2.8261715021101121</v>
      </c>
      <c r="M8" s="3" t="str" cm="1">
        <f t="array" ref="M8">_FV(A8,"Code mnémonique",TRUE)</f>
        <v>HROW</v>
      </c>
      <c r="N8" s="3">
        <v>3</v>
      </c>
      <c r="T8" s="38"/>
      <c r="U8" s="39"/>
      <c r="V8" s="38"/>
    </row>
    <row r="9" spans="1:22" ht="15.6">
      <c r="A9" s="27" t="e" vm="8">
        <v>#VALUE!</v>
      </c>
      <c r="B9" s="25" cm="1">
        <f t="array" ref="B9">_FV(A9,"Prix")</f>
        <v>4.01</v>
      </c>
      <c r="C9" s="40">
        <v>20</v>
      </c>
      <c r="D9" s="43">
        <f t="shared" si="6"/>
        <v>2.6733333333333325</v>
      </c>
      <c r="E9" s="23">
        <v>0.65</v>
      </c>
      <c r="F9" s="15">
        <f t="shared" si="0"/>
        <v>0.35</v>
      </c>
      <c r="G9" s="15">
        <f t="shared" si="1"/>
        <v>3.9875311720698257</v>
      </c>
      <c r="H9" s="15">
        <f t="shared" si="2"/>
        <v>0.33333333333333348</v>
      </c>
      <c r="I9" s="22">
        <v>6.3427953812850324E-2</v>
      </c>
      <c r="J9" s="21">
        <f t="shared" si="3"/>
        <v>1.8622263914946835</v>
      </c>
      <c r="K9" s="20">
        <f t="shared" si="4"/>
        <v>2.8462335188257026</v>
      </c>
      <c r="L9" s="20">
        <f t="shared" si="5"/>
        <v>2.4660036456706944</v>
      </c>
      <c r="M9" s="3" t="str" cm="1">
        <f t="array" ref="M9">_FV(A9,"Code mnémonique",TRUE)</f>
        <v>PL</v>
      </c>
      <c r="N9" s="3">
        <v>7</v>
      </c>
      <c r="T9" s="38"/>
      <c r="U9" s="39"/>
      <c r="V9" s="38"/>
    </row>
    <row r="10" spans="1:22" ht="15.6">
      <c r="A10" s="27" t="e" vm="9">
        <v>#VALUE!</v>
      </c>
      <c r="B10" s="25" cm="1">
        <f t="array" ref="B10">_FV(A10,"Prix")</f>
        <v>3.54</v>
      </c>
      <c r="C10" s="40">
        <v>8</v>
      </c>
      <c r="D10" s="43">
        <f t="shared" si="6"/>
        <v>2.4386666666666668</v>
      </c>
      <c r="E10" s="23">
        <v>0.65</v>
      </c>
      <c r="F10" s="15">
        <f t="shared" si="0"/>
        <v>0.35</v>
      </c>
      <c r="G10" s="15">
        <f t="shared" si="1"/>
        <v>1.2598870056497176</v>
      </c>
      <c r="H10" s="15">
        <f t="shared" si="2"/>
        <v>0.31111111111111112</v>
      </c>
      <c r="I10" s="22">
        <v>1.1077571149248877E-2</v>
      </c>
      <c r="J10" s="21">
        <f t="shared" si="3"/>
        <v>1.8114830237027548</v>
      </c>
      <c r="K10" s="20">
        <f t="shared" si="4"/>
        <v>1.6198769053036366</v>
      </c>
      <c r="L10" s="20">
        <f t="shared" si="5"/>
        <v>1.4911062283118581</v>
      </c>
      <c r="M10" s="3" t="str" cm="1">
        <f t="array" ref="M10">_FV(A10,"Code mnémonique",TRUE)</f>
        <v>ECN</v>
      </c>
      <c r="N10" s="3">
        <v>6</v>
      </c>
      <c r="T10" s="38"/>
      <c r="U10" s="39"/>
      <c r="V10" s="38"/>
    </row>
    <row r="11" spans="1:22" ht="15.6">
      <c r="A11" s="27" t="e" vm="10">
        <v>#VALUE!</v>
      </c>
      <c r="B11" s="25" cm="1">
        <f t="array" ref="B11">_FV(A11,"Prix")</f>
        <v>52.86</v>
      </c>
      <c r="C11" s="40">
        <v>150</v>
      </c>
      <c r="D11" s="43">
        <f t="shared" si="6"/>
        <v>31.715999999999998</v>
      </c>
      <c r="E11" s="23">
        <v>0.6</v>
      </c>
      <c r="F11" s="15">
        <f t="shared" si="0"/>
        <v>0.4</v>
      </c>
      <c r="G11" s="15">
        <f t="shared" si="1"/>
        <v>1.8376844494892168</v>
      </c>
      <c r="H11" s="15">
        <f t="shared" si="2"/>
        <v>0.4</v>
      </c>
      <c r="I11" s="22">
        <v>3.2184992267801527E-2</v>
      </c>
      <c r="J11" s="21">
        <f t="shared" si="3"/>
        <v>1.2823347745521925</v>
      </c>
      <c r="K11" s="20">
        <f t="shared" si="4"/>
        <v>1.550847947598929</v>
      </c>
      <c r="L11" s="20">
        <f t="shared" si="5"/>
        <v>1.5241894818305171</v>
      </c>
      <c r="M11" s="3" t="str" cm="1">
        <f t="array" ref="M11">_FV(A11,"Code mnémonique",TRUE)</f>
        <v>AAMC</v>
      </c>
      <c r="N11" s="3">
        <v>10</v>
      </c>
      <c r="T11" s="38"/>
      <c r="U11" s="39"/>
      <c r="V11" s="38"/>
    </row>
    <row r="12" spans="1:22" ht="15.6">
      <c r="A12" s="27"/>
      <c r="B12" s="25" t="e" cm="1" vm="11">
        <f t="array" ref="B12">_FV(A12,"Prix")</f>
        <v>#VALUE!</v>
      </c>
      <c r="C12" s="16"/>
      <c r="D12" s="16"/>
      <c r="E12" s="23"/>
      <c r="F12" s="15">
        <f t="shared" si="0"/>
        <v>1</v>
      </c>
      <c r="G12" s="15" t="e" vm="12">
        <f t="shared" si="1"/>
        <v>#VALUE!</v>
      </c>
      <c r="H12" s="15" t="e" vm="12">
        <f t="shared" si="2"/>
        <v>#VALUE!</v>
      </c>
      <c r="I12" s="22"/>
      <c r="J12" s="21" t="e" vm="12">
        <f t="shared" si="3"/>
        <v>#VALUE!</v>
      </c>
      <c r="K12" s="20" t="e" vm="12">
        <f t="shared" si="4"/>
        <v>#VALUE!</v>
      </c>
      <c r="L12" s="20" t="e" vm="12">
        <f t="shared" si="5"/>
        <v>#VALUE!</v>
      </c>
      <c r="M12" s="3" t="e" cm="1" vm="13">
        <f t="array" ref="M12">_FV(A12,"Code mnémonique",TRUE)</f>
        <v>#VALUE!</v>
      </c>
      <c r="T12" s="38"/>
      <c r="U12" s="39"/>
      <c r="V12" s="38"/>
    </row>
    <row r="13" spans="1:22" ht="15.6">
      <c r="A13" s="27"/>
      <c r="B13" s="25" t="e" cm="1" vm="11">
        <f t="array" ref="B13">_FV(A13,"Prix")</f>
        <v>#VALUE!</v>
      </c>
      <c r="C13" s="41"/>
      <c r="D13" s="42"/>
      <c r="E13" s="23"/>
      <c r="F13" s="15">
        <f t="shared" si="0"/>
        <v>1</v>
      </c>
      <c r="G13" s="15" t="e" vm="12">
        <f t="shared" si="1"/>
        <v>#VALUE!</v>
      </c>
      <c r="H13" s="15" t="e" vm="12">
        <f t="shared" si="2"/>
        <v>#VALUE!</v>
      </c>
      <c r="I13" s="22"/>
      <c r="J13" s="21" t="e" vm="12">
        <f t="shared" si="3"/>
        <v>#VALUE!</v>
      </c>
      <c r="K13" s="20" t="e" vm="12">
        <f t="shared" si="4"/>
        <v>#VALUE!</v>
      </c>
      <c r="L13" s="20" t="e" vm="12">
        <f t="shared" si="5"/>
        <v>#VALUE!</v>
      </c>
      <c r="M13" s="3" t="e" cm="1" vm="13">
        <f t="array" ref="M13">_FV(A13,"Code mnémonique",TRUE)</f>
        <v>#VALUE!</v>
      </c>
      <c r="T13" s="38"/>
      <c r="U13" s="39"/>
      <c r="V13" s="38"/>
    </row>
    <row r="14" spans="1:22" ht="15.6">
      <c r="A14" s="27"/>
      <c r="B14" s="25" t="e" cm="1" vm="11">
        <f t="array" ref="B14">_FV(A14,"Prix")</f>
        <v>#VALUE!</v>
      </c>
      <c r="C14" s="24"/>
      <c r="D14" s="8"/>
      <c r="E14" s="23"/>
      <c r="F14" s="15">
        <f t="shared" si="0"/>
        <v>1</v>
      </c>
      <c r="G14" s="15" t="e" vm="12">
        <f t="shared" si="1"/>
        <v>#VALUE!</v>
      </c>
      <c r="H14" s="15" t="e" vm="12">
        <f t="shared" si="2"/>
        <v>#VALUE!</v>
      </c>
      <c r="I14" s="22"/>
      <c r="J14" s="21" t="e" vm="12">
        <f t="shared" si="3"/>
        <v>#VALUE!</v>
      </c>
      <c r="K14" s="20" t="e" vm="12">
        <f t="shared" si="4"/>
        <v>#VALUE!</v>
      </c>
      <c r="L14" s="20" t="e" vm="12">
        <f t="shared" si="5"/>
        <v>#VALUE!</v>
      </c>
      <c r="M14" s="3" t="e" cm="1" vm="13">
        <f t="array" ref="M14">_FV(A14,"Code mnémonique",TRUE)</f>
        <v>#VALUE!</v>
      </c>
      <c r="T14" s="38"/>
      <c r="U14" s="38"/>
      <c r="V14" s="38"/>
    </row>
    <row r="15" spans="1:22" ht="15.6">
      <c r="A15" s="27"/>
      <c r="B15" s="25" t="e" cm="1" vm="11">
        <f t="array" ref="B15">_FV(A15,"Prix")</f>
        <v>#VALUE!</v>
      </c>
      <c r="C15" s="24"/>
      <c r="D15" s="8"/>
      <c r="E15" s="23"/>
      <c r="F15" s="15">
        <f t="shared" si="0"/>
        <v>1</v>
      </c>
      <c r="G15" s="15" t="e" vm="12">
        <f t="shared" si="1"/>
        <v>#VALUE!</v>
      </c>
      <c r="H15" s="15" t="e" vm="12">
        <f t="shared" si="2"/>
        <v>#VALUE!</v>
      </c>
      <c r="I15" s="22"/>
      <c r="J15" s="21" t="e" vm="12">
        <f t="shared" si="3"/>
        <v>#VALUE!</v>
      </c>
      <c r="K15" s="20" t="e" vm="12">
        <f t="shared" si="4"/>
        <v>#VALUE!</v>
      </c>
      <c r="L15" s="20" t="e" vm="12">
        <f t="shared" si="5"/>
        <v>#VALUE!</v>
      </c>
      <c r="M15" s="3" t="e" cm="1" vm="13">
        <f t="array" ref="M15">_FV(A15,"Code mnémonique",TRUE)</f>
        <v>#VALUE!</v>
      </c>
      <c r="T15" s="38"/>
      <c r="U15" s="38"/>
      <c r="V15" s="38"/>
    </row>
    <row r="16" spans="1:22" ht="15.6">
      <c r="A16" s="27"/>
      <c r="B16" s="25" t="e" cm="1" vm="11">
        <f t="array" ref="B16">_FV(A16,"Prix")</f>
        <v>#VALUE!</v>
      </c>
      <c r="C16" s="24"/>
      <c r="D16" s="8"/>
      <c r="E16" s="23"/>
      <c r="F16" s="15">
        <f t="shared" si="0"/>
        <v>1</v>
      </c>
      <c r="G16" s="15" t="e" vm="12">
        <f t="shared" si="1"/>
        <v>#VALUE!</v>
      </c>
      <c r="H16" s="15" t="e" vm="12">
        <f t="shared" si="2"/>
        <v>#VALUE!</v>
      </c>
      <c r="I16" s="22"/>
      <c r="J16" s="21" t="e" vm="12">
        <f t="shared" si="3"/>
        <v>#VALUE!</v>
      </c>
      <c r="K16" s="20" t="e" vm="12">
        <f t="shared" si="4"/>
        <v>#VALUE!</v>
      </c>
      <c r="L16" s="20" t="e" vm="12">
        <f t="shared" si="5"/>
        <v>#VALUE!</v>
      </c>
      <c r="M16" s="3" t="e" cm="1" vm="13">
        <f t="array" ref="M16">_FV(A16,"Code mnémonique",TRUE)</f>
        <v>#VALUE!</v>
      </c>
      <c r="T16" s="38"/>
      <c r="U16" s="38"/>
      <c r="V16" s="38"/>
    </row>
    <row r="17" spans="1:22" ht="15.6">
      <c r="A17" s="27"/>
      <c r="B17" s="25" t="e" cm="1" vm="11">
        <f t="array" ref="B17">_FV(A17,"Prix")</f>
        <v>#VALUE!</v>
      </c>
      <c r="C17" s="24"/>
      <c r="D17" s="8"/>
      <c r="E17" s="23"/>
      <c r="F17" s="15">
        <f t="shared" si="0"/>
        <v>1</v>
      </c>
      <c r="G17" s="15" t="e" vm="12">
        <f t="shared" si="1"/>
        <v>#VALUE!</v>
      </c>
      <c r="H17" s="15" t="e" vm="12">
        <f t="shared" si="2"/>
        <v>#VALUE!</v>
      </c>
      <c r="I17" s="22"/>
      <c r="J17" s="21" t="e" vm="12">
        <f t="shared" si="3"/>
        <v>#VALUE!</v>
      </c>
      <c r="K17" s="20" t="e" vm="12">
        <f t="shared" si="4"/>
        <v>#VALUE!</v>
      </c>
      <c r="L17" s="20" t="e" vm="12">
        <f t="shared" si="5"/>
        <v>#VALUE!</v>
      </c>
      <c r="M17" s="3" t="e" cm="1" vm="13">
        <f t="array" ref="M17">_FV(A17,"Code mnémonique",TRUE)</f>
        <v>#VALUE!</v>
      </c>
      <c r="T17" s="38"/>
      <c r="U17" s="38"/>
      <c r="V17" s="38"/>
    </row>
    <row r="18" spans="1:22" ht="15.6">
      <c r="A18" s="27"/>
      <c r="B18" s="25" t="e" cm="1" vm="11">
        <f t="array" ref="B18">_FV(A18,"Prix")</f>
        <v>#VALUE!</v>
      </c>
      <c r="C18" s="24"/>
      <c r="D18" s="8"/>
      <c r="E18" s="23"/>
      <c r="F18" s="15">
        <f t="shared" si="0"/>
        <v>1</v>
      </c>
      <c r="G18" s="15" t="e" vm="12">
        <f t="shared" si="1"/>
        <v>#VALUE!</v>
      </c>
      <c r="H18" s="15" t="e" vm="12">
        <f t="shared" si="2"/>
        <v>#VALUE!</v>
      </c>
      <c r="I18" s="22"/>
      <c r="J18" s="21" t="e" vm="12">
        <f t="shared" si="3"/>
        <v>#VALUE!</v>
      </c>
      <c r="K18" s="20" t="e" vm="12">
        <f t="shared" si="4"/>
        <v>#VALUE!</v>
      </c>
      <c r="L18" s="20" t="e" vm="12">
        <f t="shared" si="5"/>
        <v>#VALUE!</v>
      </c>
      <c r="M18" s="3" t="e" cm="1" vm="13">
        <f t="array" ref="M18">_FV(A18,"Code mnémonique",TRUE)</f>
        <v>#VALUE!</v>
      </c>
      <c r="T18" s="38"/>
      <c r="U18" s="38"/>
      <c r="V18" s="38"/>
    </row>
    <row r="19" spans="1:22" ht="15.6">
      <c r="A19" s="27"/>
      <c r="B19" s="25" t="e" cm="1" vm="11">
        <f t="array" ref="B19">_FV(A19,"Prix")</f>
        <v>#VALUE!</v>
      </c>
      <c r="C19" s="24"/>
      <c r="D19" s="8"/>
      <c r="E19" s="23"/>
      <c r="F19" s="15">
        <f t="shared" si="0"/>
        <v>1</v>
      </c>
      <c r="G19" s="15" t="e" vm="12">
        <f t="shared" si="1"/>
        <v>#VALUE!</v>
      </c>
      <c r="H19" s="15" t="e" vm="12">
        <f t="shared" si="2"/>
        <v>#VALUE!</v>
      </c>
      <c r="I19" s="22"/>
      <c r="J19" s="21" t="e" vm="12">
        <f t="shared" si="3"/>
        <v>#VALUE!</v>
      </c>
      <c r="K19" s="20" t="e" vm="12">
        <f t="shared" si="4"/>
        <v>#VALUE!</v>
      </c>
      <c r="L19" s="20" t="e" vm="12">
        <f t="shared" si="5"/>
        <v>#VALUE!</v>
      </c>
      <c r="M19" s="3" t="e" cm="1" vm="13">
        <f t="array" ref="M19">_FV(A19,"Code mnémonique",TRUE)</f>
        <v>#VALUE!</v>
      </c>
      <c r="T19" s="38"/>
      <c r="U19" s="38"/>
      <c r="V19" s="38"/>
    </row>
    <row r="20" spans="1:22" ht="15.6">
      <c r="A20" s="27"/>
      <c r="B20" s="25" t="e" cm="1" vm="11">
        <f t="array" ref="B20">_FV(A20,"Prix")</f>
        <v>#VALUE!</v>
      </c>
      <c r="C20" s="24"/>
      <c r="D20" s="8"/>
      <c r="E20" s="23"/>
      <c r="F20" s="15">
        <f t="shared" si="0"/>
        <v>1</v>
      </c>
      <c r="G20" s="15" t="e" vm="12">
        <f t="shared" si="1"/>
        <v>#VALUE!</v>
      </c>
      <c r="H20" s="15" t="e" vm="12">
        <f t="shared" si="2"/>
        <v>#VALUE!</v>
      </c>
      <c r="I20" s="22"/>
      <c r="J20" s="21" t="e" vm="12">
        <f t="shared" si="3"/>
        <v>#VALUE!</v>
      </c>
      <c r="K20" s="20" t="e" vm="12">
        <f t="shared" si="4"/>
        <v>#VALUE!</v>
      </c>
      <c r="L20" s="20" t="e" vm="12">
        <f t="shared" si="5"/>
        <v>#VALUE!</v>
      </c>
      <c r="M20" s="3" t="e" cm="1" vm="13">
        <f t="array" ref="M20">_FV(A20,"Code mnémonique",TRUE)</f>
        <v>#VALUE!</v>
      </c>
      <c r="T20" s="38"/>
      <c r="U20" s="38"/>
      <c r="V20" s="38"/>
    </row>
    <row r="21" spans="1:22" ht="15.6">
      <c r="A21" s="26"/>
      <c r="B21" s="25" t="e" cm="1" vm="11">
        <f t="array" ref="B21">_FV(A21,"Prix")</f>
        <v>#VALUE!</v>
      </c>
      <c r="C21" s="24"/>
      <c r="D21" s="8"/>
      <c r="E21" s="23"/>
      <c r="F21" s="15">
        <f t="shared" si="0"/>
        <v>1</v>
      </c>
      <c r="G21" s="15" t="e" vm="12">
        <f t="shared" si="1"/>
        <v>#VALUE!</v>
      </c>
      <c r="H21" s="15" t="e" vm="12">
        <f t="shared" si="2"/>
        <v>#VALUE!</v>
      </c>
      <c r="I21" s="22"/>
      <c r="J21" s="21" t="e" vm="12">
        <f t="shared" si="3"/>
        <v>#VALUE!</v>
      </c>
      <c r="K21" s="20" t="e" vm="12">
        <f t="shared" si="4"/>
        <v>#VALUE!</v>
      </c>
      <c r="L21" s="20" t="e" vm="12">
        <f t="shared" si="5"/>
        <v>#VALUE!</v>
      </c>
      <c r="M21" s="3" t="e" cm="1" vm="13">
        <f t="array" ref="M21">_FV(A21,"Code mnémonique",TRUE)</f>
        <v>#VALUE!</v>
      </c>
      <c r="T21" s="38"/>
      <c r="U21" s="38"/>
      <c r="V21" s="38"/>
    </row>
    <row r="22" spans="1:22">
      <c r="I22" s="19"/>
      <c r="J22" s="19"/>
      <c r="K22" s="18"/>
      <c r="L22" s="11"/>
    </row>
    <row r="23" spans="1:22" ht="15.6">
      <c r="A23" s="32" t="s">
        <v>30</v>
      </c>
      <c r="B23" s="33">
        <f>COUNT(B2:B21)</f>
        <v>10</v>
      </c>
      <c r="L23" s="11"/>
    </row>
    <row r="24" spans="1:22" ht="15.6">
      <c r="A24" s="32" t="s">
        <v>31</v>
      </c>
      <c r="B24" s="8">
        <v>2</v>
      </c>
      <c r="L24" s="11"/>
    </row>
    <row r="25" spans="1:22" ht="15.6">
      <c r="A25" s="32" t="s">
        <v>35</v>
      </c>
      <c r="B25" s="34">
        <v>1.5070423017021248</v>
      </c>
      <c r="G25" s="13"/>
      <c r="L25" s="11"/>
    </row>
    <row r="26" spans="1:22" ht="15.6">
      <c r="A26" s="32" t="s">
        <v>36</v>
      </c>
      <c r="B26" s="35">
        <v>0.14234921774021628</v>
      </c>
      <c r="G26" s="13"/>
      <c r="L26" s="11"/>
    </row>
    <row r="27" spans="1:22" ht="15.6">
      <c r="A27" s="32" t="s">
        <v>29</v>
      </c>
      <c r="B27" s="16">
        <v>8</v>
      </c>
      <c r="G27" s="13"/>
      <c r="L27" s="11"/>
    </row>
    <row r="28" spans="1:22" ht="15.6">
      <c r="A28" s="32" t="s">
        <v>32</v>
      </c>
      <c r="B28" s="23">
        <v>0.75</v>
      </c>
      <c r="G28" s="13"/>
      <c r="L28" s="11"/>
    </row>
    <row r="29" spans="1:22" ht="15.6">
      <c r="A29" s="32" t="s">
        <v>33</v>
      </c>
      <c r="B29" s="14">
        <v>0.15</v>
      </c>
      <c r="G29" s="13"/>
      <c r="L29" s="11"/>
    </row>
    <row r="30" spans="1:22" ht="15.6">
      <c r="A30" s="32" t="s">
        <v>19</v>
      </c>
      <c r="B30" s="17">
        <v>1</v>
      </c>
      <c r="H30" s="12"/>
      <c r="L30" s="11"/>
    </row>
    <row r="31" spans="1:22">
      <c r="J31" s="10"/>
    </row>
  </sheetData>
  <conditionalFormatting sqref="G2:G21">
    <cfRule type="dataBar" priority="6">
      <dataBar>
        <cfvo type="min"/>
        <cfvo type="max"/>
        <color rgb="FF638EC6"/>
      </dataBar>
      <extLst>
        <ext xmlns:x14="http://schemas.microsoft.com/office/spreadsheetml/2009/9/main" uri="{B025F937-C7B1-47D3-B67F-A62EFF666E3E}">
          <x14:id>{59298E7C-FC97-4D20-856E-08244CBDBCE9}</x14:id>
        </ext>
      </extLst>
    </cfRule>
  </conditionalFormatting>
  <conditionalFormatting sqref="H2:H21">
    <cfRule type="dataBar" priority="3">
      <dataBar>
        <cfvo type="min"/>
        <cfvo type="max"/>
        <color rgb="FF638EC6"/>
      </dataBar>
      <extLst>
        <ext xmlns:x14="http://schemas.microsoft.com/office/spreadsheetml/2009/9/main" uri="{B025F937-C7B1-47D3-B67F-A62EFF666E3E}">
          <x14:id>{27BB4B75-E78D-4BC2-BF4F-6080994B4ED1}</x14:id>
        </ext>
      </extLst>
    </cfRule>
    <cfRule type="dataBar" priority="4">
      <dataBar>
        <cfvo type="min"/>
        <cfvo type="max"/>
        <color rgb="FF638EC6"/>
      </dataBar>
      <extLst>
        <ext xmlns:x14="http://schemas.microsoft.com/office/spreadsheetml/2009/9/main" uri="{B025F937-C7B1-47D3-B67F-A62EFF666E3E}">
          <x14:id>{70F0FF23-F582-4484-8E6F-A4BCB2A411A5}</x14:id>
        </ext>
      </extLst>
    </cfRule>
  </conditionalFormatting>
  <conditionalFormatting sqref="I2:I21">
    <cfRule type="dataBar" priority="2">
      <dataBar>
        <cfvo type="min"/>
        <cfvo type="max"/>
        <color rgb="FF638EC6"/>
      </dataBar>
      <extLst>
        <ext xmlns:x14="http://schemas.microsoft.com/office/spreadsheetml/2009/9/main" uri="{B025F937-C7B1-47D3-B67F-A62EFF666E3E}">
          <x14:id>{1BE44D09-5C20-474F-873C-5BCA41598B65}</x14:id>
        </ext>
      </extLst>
    </cfRule>
  </conditionalFormatting>
  <pageMargins left="0.7" right="0.7" top="0.75" bottom="0.75" header="0.3" footer="0.3"/>
  <pageSetup orientation="portrait" r:id="rId1"/>
  <ignoredErrors>
    <ignoredError sqref="B2 B15:B21"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mpleCall">
                <anchor moveWithCells="1" sizeWithCells="1">
                  <from>
                    <xdr:col>8</xdr:col>
                    <xdr:colOff>22860</xdr:colOff>
                    <xdr:row>22</xdr:row>
                    <xdr:rowOff>22860</xdr:rowOff>
                  </from>
                  <to>
                    <xdr:col>11</xdr:col>
                    <xdr:colOff>1066800</xdr:colOff>
                    <xdr:row>29</xdr:row>
                    <xdr:rowOff>129540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9298E7C-FC97-4D20-856E-08244CBDBCE9}">
            <x14:dataBar minLength="0" maxLength="100" gradient="0">
              <x14:cfvo type="autoMin"/>
              <x14:cfvo type="autoMax"/>
              <x14:negativeFillColor rgb="FFFF0000"/>
              <x14:axisColor rgb="FF000000"/>
            </x14:dataBar>
          </x14:cfRule>
          <xm:sqref>G2:G21</xm:sqref>
        </x14:conditionalFormatting>
        <x14:conditionalFormatting xmlns:xm="http://schemas.microsoft.com/office/excel/2006/main">
          <x14:cfRule type="dataBar" id="{27BB4B75-E78D-4BC2-BF4F-6080994B4ED1}">
            <x14:dataBar minLength="0" maxLength="100" gradient="0" negativeBarColorSameAsPositive="1">
              <x14:cfvo type="autoMin"/>
              <x14:cfvo type="autoMax"/>
              <x14:axisColor rgb="FF000000"/>
            </x14:dataBar>
          </x14:cfRule>
          <x14:cfRule type="dataBar" id="{70F0FF23-F582-4484-8E6F-A4BCB2A411A5}">
            <x14:dataBar minLength="0" maxLength="100" gradient="0">
              <x14:cfvo type="autoMin"/>
              <x14:cfvo type="autoMax"/>
              <x14:negativeFillColor rgb="FFFF0000"/>
              <x14:axisColor rgb="FF000000"/>
            </x14:dataBar>
          </x14:cfRule>
          <xm:sqref>H2:H21</xm:sqref>
        </x14:conditionalFormatting>
        <x14:conditionalFormatting xmlns:xm="http://schemas.microsoft.com/office/excel/2006/main">
          <x14:cfRule type="dataBar" id="{1BE44D09-5C20-474F-873C-5BCA41598B65}">
            <x14:dataBar minLength="0" maxLength="100" gradient="0">
              <x14:cfvo type="autoMin"/>
              <x14:cfvo type="autoMax"/>
              <x14:negativeFillColor rgb="FFFF0000"/>
              <x14:axisColor rgb="FF000000"/>
            </x14:dataBar>
          </x14:cfRule>
          <xm:sqref>I2:I21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ColWidth="11" defaultRowHeight="15.6"/>
  <sheetData/>
  <pageMargins left="0.75" right="0.75" top="1" bottom="1" header="0.5" footer="0.5"/>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heetViews>
  <sheetFormatPr defaultColWidth="8.8984375" defaultRowHeight="15.6"/>
  <cols>
    <col min="1" max="1" width="14.69921875" style="1" customWidth="1"/>
    <col min="2" max="2" width="9.19921875" style="1" customWidth="1"/>
    <col min="3" max="16384" width="8.8984375" style="1"/>
  </cols>
  <sheetData>
    <row r="1" spans="1:2">
      <c r="A1" s="1" t="s">
        <v>8</v>
      </c>
      <c r="B1" s="1" t="s">
        <v>13</v>
      </c>
    </row>
    <row r="2" spans="1:2">
      <c r="A2" s="1" t="s">
        <v>9</v>
      </c>
    </row>
    <row r="3" spans="1:2">
      <c r="A3" s="1" t="s">
        <v>0</v>
      </c>
    </row>
    <row r="4" spans="1:2">
      <c r="A4" s="1" t="s">
        <v>7</v>
      </c>
    </row>
    <row r="5" spans="1:2">
      <c r="A5" s="1" t="s">
        <v>5</v>
      </c>
    </row>
    <row r="6" spans="1:2">
      <c r="A6" s="1" t="s">
        <v>1</v>
      </c>
    </row>
    <row r="7" spans="1:2">
      <c r="A7" s="1" t="s">
        <v>2</v>
      </c>
      <c r="B7" s="1" t="b">
        <v>0</v>
      </c>
    </row>
    <row r="8" spans="1:2">
      <c r="A8" s="1" t="s">
        <v>3</v>
      </c>
      <c r="B8" s="1" t="b">
        <v>0</v>
      </c>
    </row>
    <row r="9" spans="1:2">
      <c r="A9" s="1" t="s">
        <v>12</v>
      </c>
      <c r="B9" s="1" t="b">
        <v>0</v>
      </c>
    </row>
    <row r="13" spans="1:2">
      <c r="A13" s="2" t="s">
        <v>4</v>
      </c>
    </row>
    <row r="14" spans="1:2">
      <c r="A14" s="1" t="s">
        <v>10</v>
      </c>
    </row>
    <row r="15" spans="1:2">
      <c r="A15" s="1" t="s">
        <v>14</v>
      </c>
    </row>
    <row r="16" spans="1:2">
      <c r="A16" s="1" t="s">
        <v>6</v>
      </c>
    </row>
    <row r="17" spans="1:1">
      <c r="A17" s="1" t="s">
        <v>11</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Inputs</vt:lpstr>
      <vt:lpstr>Sheet1</vt:lpstr>
      <vt:lpstr>_xlwings.conf</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dc:creator>
  <cp:keywords/>
  <dc:description/>
  <cp:lastModifiedBy>May, David</cp:lastModifiedBy>
  <dcterms:created xsi:type="dcterms:W3CDTF">2015-01-25T11:31:25Z</dcterms:created>
  <dcterms:modified xsi:type="dcterms:W3CDTF">2023-03-16T12:51:48Z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6791f77-3d39-4d72-9277-ac879ec799ed_Enabled">
    <vt:lpwstr>true</vt:lpwstr>
  </property>
  <property fmtid="{D5CDD505-2E9C-101B-9397-08002B2CF9AE}" pid="3" name="MSIP_Label_36791f77-3d39-4d72-9277-ac879ec799ed_SetDate">
    <vt:lpwstr>2022-09-10T15:47:33Z</vt:lpwstr>
  </property>
  <property fmtid="{D5CDD505-2E9C-101B-9397-08002B2CF9AE}" pid="4" name="MSIP_Label_36791f77-3d39-4d72-9277-ac879ec799ed_Method">
    <vt:lpwstr>Standard</vt:lpwstr>
  </property>
  <property fmtid="{D5CDD505-2E9C-101B-9397-08002B2CF9AE}" pid="5" name="MSIP_Label_36791f77-3d39-4d72-9277-ac879ec799ed_Name">
    <vt:lpwstr>restricted-default</vt:lpwstr>
  </property>
  <property fmtid="{D5CDD505-2E9C-101B-9397-08002B2CF9AE}" pid="6" name="MSIP_Label_36791f77-3d39-4d72-9277-ac879ec799ed_SiteId">
    <vt:lpwstr>254ba93e-1f6f-48f3-90e6-e2766664b477</vt:lpwstr>
  </property>
  <property fmtid="{D5CDD505-2E9C-101B-9397-08002B2CF9AE}" pid="7" name="MSIP_Label_36791f77-3d39-4d72-9277-ac879ec799ed_ActionId">
    <vt:lpwstr>09abecea-de2b-4186-865a-c956f4134496</vt:lpwstr>
  </property>
  <property fmtid="{D5CDD505-2E9C-101B-9397-08002B2CF9AE}" pid="8" name="MSIP_Label_36791f77-3d39-4d72-9277-ac879ec799ed_ContentBits">
    <vt:lpwstr>0</vt:lpwstr>
  </property>
</Properties>
</file>