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71B950E5-D904-4AA2-A86D-616EC94EE4B2}"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Inputs!$B$31</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Inputs!$B$28</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Inputs!$B$29</definedName>
    <definedName name="solver_rhs2" localSheetId="0" hidden="1">Inputs!$B$30</definedName>
    <definedName name="solver_rhs3" localSheetId="0" hidden="1">Inputs!$B$30</definedName>
    <definedName name="solver_rhs4" localSheetId="0" hidden="1">Inputs!$B$30</definedName>
    <definedName name="solver_rhs5" localSheetId="0" hidden="1">Inputs!$B$30</definedName>
    <definedName name="solver_rhs6" localSheetId="0" hidden="1">Inputs!$B$30</definedName>
    <definedName name="solver_rhs7" localSheetId="0" hidden="1">Inputs!$B$30</definedName>
    <definedName name="solver_rhs8" localSheetId="0" hidden="1">Inputs!$B$30</definedName>
    <definedName name="solver_rhs9" localSheetId="0" hidden="1">Inputs!$B$30</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 i="3" l="1"/>
  <c r="B2" i="3" a="1"/>
  <c r="B2" i="3" s="1"/>
  <c r="F2" i="3"/>
  <c r="B3" i="3" a="1"/>
  <c r="B3" i="3" s="1"/>
  <c r="F3" i="3"/>
  <c r="B4" i="3" a="1"/>
  <c r="B4" i="3" s="1"/>
  <c r="F4" i="3"/>
  <c r="B5" i="3" a="1"/>
  <c r="B5" i="3" s="1"/>
  <c r="F5" i="3"/>
  <c r="B6" i="3" a="1"/>
  <c r="B6" i="3" s="1"/>
  <c r="F6" i="3"/>
  <c r="B7" i="3" a="1"/>
  <c r="B7" i="3" s="1"/>
  <c r="F7" i="3"/>
  <c r="B8" i="3" a="1"/>
  <c r="B8" i="3" s="1"/>
  <c r="F8" i="3"/>
  <c r="B9" i="3" a="1"/>
  <c r="B9" i="3" s="1"/>
  <c r="F9" i="3"/>
  <c r="B10" i="3" a="1"/>
  <c r="B10" i="3" s="1"/>
  <c r="F10" i="3"/>
  <c r="B11" i="3" a="1"/>
  <c r="B11" i="3" s="1"/>
  <c r="H11" i="3" s="1"/>
  <c r="C11" i="3"/>
  <c r="F11" i="3"/>
  <c r="B12" i="3" a="1"/>
  <c r="B12" i="3" s="1"/>
  <c r="F12" i="3"/>
  <c r="B13" i="3" a="1"/>
  <c r="B13" i="3" s="1"/>
  <c r="F13" i="3"/>
  <c r="B14" i="3" a="1"/>
  <c r="B14" i="3" s="1"/>
  <c r="F14" i="3"/>
  <c r="B15" i="3" a="1"/>
  <c r="B15" i="3" s="1"/>
  <c r="F15" i="3"/>
  <c r="B16" i="3" a="1"/>
  <c r="B16" i="3" s="1"/>
  <c r="F16" i="3"/>
  <c r="B17" i="3" a="1"/>
  <c r="B17" i="3" s="1"/>
  <c r="F17" i="3"/>
  <c r="B18" i="3" a="1"/>
  <c r="B18" i="3" s="1"/>
  <c r="F18" i="3"/>
  <c r="B19" i="3" a="1"/>
  <c r="B19" i="3" s="1"/>
  <c r="F19" i="3"/>
  <c r="B20" i="3" a="1"/>
  <c r="B20" i="3" s="1"/>
  <c r="F20" i="3"/>
  <c r="B21" i="3" a="1"/>
  <c r="B21" i="3" s="1"/>
  <c r="F21" i="3"/>
  <c r="B31" i="3"/>
  <c r="B23" i="3" l="1"/>
  <c r="G11" i="3"/>
  <c r="L11" i="3" s="1"/>
  <c r="G16" i="3"/>
  <c r="L16" i="3" s="1"/>
  <c r="H16" i="3"/>
  <c r="J16" i="3" s="1"/>
  <c r="K16" i="3" s="1"/>
  <c r="G8" i="3"/>
  <c r="H8" i="3"/>
  <c r="G15" i="3"/>
  <c r="H15" i="3"/>
  <c r="J15" i="3" s="1"/>
  <c r="K15" i="3" s="1"/>
  <c r="G7" i="3"/>
  <c r="H7" i="3"/>
  <c r="G5" i="3"/>
  <c r="H5" i="3"/>
  <c r="G14" i="3"/>
  <c r="H14" i="3"/>
  <c r="J14" i="3" s="1"/>
  <c r="K14" i="3" s="1"/>
  <c r="G6" i="3"/>
  <c r="H6" i="3"/>
  <c r="G21" i="3"/>
  <c r="L21" i="3" s="1"/>
  <c r="H21" i="3"/>
  <c r="G13" i="3"/>
  <c r="H13" i="3"/>
  <c r="G20" i="3"/>
  <c r="H20" i="3"/>
  <c r="J20" i="3" s="1"/>
  <c r="K20" i="3" s="1"/>
  <c r="G12" i="3"/>
  <c r="H12" i="3"/>
  <c r="G4" i="3"/>
  <c r="H4" i="3"/>
  <c r="G3" i="3"/>
  <c r="H3" i="3"/>
  <c r="G18" i="3"/>
  <c r="L18" i="3" s="1"/>
  <c r="H18" i="3"/>
  <c r="J18" i="3" s="1"/>
  <c r="K18" i="3" s="1"/>
  <c r="G19" i="3"/>
  <c r="H19" i="3"/>
  <c r="J19" i="3" s="1"/>
  <c r="K19" i="3" s="1"/>
  <c r="G10" i="3"/>
  <c r="H10" i="3"/>
  <c r="G9" i="3"/>
  <c r="H9" i="3"/>
  <c r="G2" i="3"/>
  <c r="H2" i="3"/>
  <c r="G17" i="3"/>
  <c r="H17" i="3"/>
  <c r="J17" i="3" s="1"/>
  <c r="K17" i="3" s="1"/>
  <c r="J12" i="3" l="1"/>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6"/>
        </ext>
      </extLst>
    </bk>
    <bk>
      <extLst>
        <ext uri="{3e2802c4-a4d2-4d8b-9148-e3be6c30e623}">
          <xlrd:rvb i="37"/>
        </ext>
      </extLst>
    </bk>
  </futureMetadata>
  <cellMetadata count="1">
    <bk>
      <rc t="1" v="0"/>
    </bk>
  </cellMetadata>
  <valueMetadata count="14">
    <bk>
      <rc t="2" v="0"/>
    </bk>
    <bk>
      <rc t="2" v="1"/>
    </bk>
    <bk>
      <rc t="2" v="2"/>
    </bk>
    <bk>
      <rc t="2" v="3"/>
    </bk>
    <bk>
      <rc t="2" v="4"/>
    </bk>
    <bk>
      <rc t="2" v="5"/>
    </bk>
    <bk>
      <rc t="2" v="6"/>
    </bk>
    <bk>
      <rc t="2" v="7"/>
    </bk>
    <bk>
      <rc t="2" v="8"/>
    </bk>
    <bk>
      <rc t="2" v="9"/>
    </bk>
    <bk>
      <rc t="2" v="10"/>
    </bk>
    <bk>
      <rc t="2" v="11"/>
    </bk>
    <bk>
      <rc t="2" v="12"/>
    </bk>
    <bk>
      <rc t="2" v="13"/>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<sst xmlns="http://schemas.openxmlformats.org/spreadsheetml/2006/main" count="39" uniqueCount="39">
  <si>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</si>
  <si>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</si>
  <si>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</si>
  <si>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</si>
  <si>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</si>
  <si>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</si>
  <si>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</si>
  <si>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</si>
  <si>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</si>
  <si>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</si>
  <si>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</si>
  <si>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</si>
  <si>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</si>
  <si>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</si>
  <si>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</si>
  <si>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</si>
  <si>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r>
      <t xml:space="preserve">= calculated using the </t>
    </r>
    <r>
      <rPr>
        <b/>
        <sz val="10"/>
        <color theme="1"/>
        <rFont val="Arial"/>
        <family val="2"/>
      </rPr>
      <t>Optimize</t>
    </r>
    <r>
      <rPr>
        <sz val="12"/>
        <color theme="1"/>
        <rFont val="Calibri"/>
        <family val="2"/>
        <scheme val="minor"/>
      </rPr>
      <t xml:space="preserve"> button or set manually </t>
    </r>
  </si>
  <si>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</si>
  <si>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</si>
  <si>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</si>
  <si>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</si>
  <si>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</si>
  <si>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</si>
  <si>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</si>
  <si>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</si>
  <si>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</si>
  <si>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</si>
  <si>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</si>
  <si>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</si>
  <si>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Downside (2-yr)</t>
  </si>
  <si>
    <t>Current Price</t>
  </si>
  <si>
    <t>Objective Weighting factor, t</t>
  </si>
  <si>
    <t>Growth, E(g)</t>
  </si>
  <si>
    <t>Risk: semi-deviation below 20% return</t>
  </si>
  <si>
    <t>Stocks</t>
  </si>
  <si>
    <t>Years to price target</t>
  </si>
  <si>
    <r>
      <t>Objective, =E(g)-K*L-0.1*</t>
    </r>
    <r>
      <rPr>
        <b/>
        <sz val="12"/>
        <color theme="1"/>
        <rFont val="Symbol"/>
        <family val="1"/>
        <charset val="2"/>
      </rPr>
      <t>s</t>
    </r>
    <r>
      <rPr>
        <b/>
        <vertAlign val="subscript"/>
        <sz val="12"/>
        <color theme="1"/>
        <rFont val="Arial"/>
        <family val="2"/>
      </rPr>
      <t>w</t>
    </r>
    <r>
      <rPr>
        <b/>
        <sz val="12"/>
        <color theme="1"/>
        <rFont val="Arial"/>
        <family val="2"/>
      </rPr>
      <t>/</t>
    </r>
    <r>
      <rPr>
        <b/>
        <sz val="12"/>
        <color theme="1"/>
        <rFont val="Symbol"/>
        <family val="1"/>
        <charset val="2"/>
      </rPr>
      <t>m</t>
    </r>
    <r>
      <rPr>
        <b/>
        <vertAlign val="subscript"/>
        <sz val="12"/>
        <color theme="1"/>
        <rFont val="Arial"/>
        <family val="2"/>
      </rPr>
      <t>w</t>
    </r>
  </si>
  <si>
    <t>Max Leverage, Fmax</t>
  </si>
  <si>
    <t>Max postion size, fmax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</si>
</sst>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8"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
      <b/>
      <sz val="12"/>
      <color theme="1"/>
      <name val="Symbol"/>
      <family val="1"/>
      <charset val="2"/>
    </font>
    <font>
      <b/>
      <vertAlign val="subscript"/>
      <sz val="12"/>
      <color theme="1"/>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33">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26125</xdr:rowOff>
        </xdr:from>
        <xdr:to>
          <xdr:col>11</xdr:col>
          <xdr:colOff>1066800</xdr:colOff>
          <xdr:row>30</xdr:row>
          <xdr:rowOff>130627</xdr:rowOff>
        </xdr:to>
        <xdr:sp macro="" textlink="">
          <xdr:nvSpPr>
            <xdr:cNvPr id="1025" name="Button 1" hidden="1">
              <a:extLst>
                <a:ext uri="{63B3BB69-23CF-44E3-9099-C40C66FF867C}">
                  <a14:compatExt spid="_x0000_s1025"/>
                </a:ext>
                <a:ext uri="{FF2B5EF4-FFF2-40B4-BE49-F238E27FC236}">
                  <a16:creationId xmlns:a16="http://schemas.microsoft.com/office/drawing/2014/main" id="{6073A1DF-D6F1-487A-8210-FBD0BFDBCA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2539EE7F-A426-4579-80FF-F1E6D69D0C79}"/>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2</xdr:col>
      <xdr:colOff>127658</xdr:colOff>
      <xdr:row>0</xdr:row>
      <xdr:rowOff>194953</xdr:rowOff>
    </xdr:from>
    <xdr:to>
      <xdr:col>3</xdr:col>
      <xdr:colOff>978725</xdr:colOff>
      <xdr:row>0</xdr:row>
      <xdr:rowOff>880753</xdr:rowOff>
    </xdr:to>
    <xdr:sp macro="" textlink="">
      <xdr:nvSpPr>
        <xdr:cNvPr id="5" name="Speech Bubble: Rectangle 4">
          <a:extLst>
            <a:ext uri="{FF2B5EF4-FFF2-40B4-BE49-F238E27FC236}">
              <a16:creationId xmlns:a16="http://schemas.microsoft.com/office/drawing/2014/main" id="{AEEF75DC-C36E-42F2-8D5E-9D72D38C939A}"/>
            </a:ext>
          </a:extLst>
        </xdr:cNvPr>
        <xdr:cNvSpPr/>
      </xdr:nvSpPr>
      <xdr:spPr>
        <a:xfrm>
          <a:off x="4214749" y="194953"/>
          <a:ext cx="169619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xdr:from>
      <xdr:col>5</xdr:col>
      <xdr:colOff>97969</xdr:colOff>
      <xdr:row>27</xdr:row>
      <xdr:rowOff>54428</xdr:rowOff>
    </xdr:from>
    <xdr:to>
      <xdr:col>7</xdr:col>
      <xdr:colOff>141513</xdr:colOff>
      <xdr:row>35</xdr:row>
      <xdr:rowOff>141512</xdr:rowOff>
    </xdr:to>
    <xdr:sp macro="" textlink="">
      <xdr:nvSpPr>
        <xdr:cNvPr id="6" name="Speech Bubble: Rectangle 5">
          <a:extLst>
            <a:ext uri="{FF2B5EF4-FFF2-40B4-BE49-F238E27FC236}">
              <a16:creationId xmlns:a16="http://schemas.microsoft.com/office/drawing/2014/main" id="{92F22DF2-209B-45A7-A88B-16088240C5B5}"/>
            </a:ext>
          </a:extLst>
        </xdr:cNvPr>
        <xdr:cNvSpPr/>
      </xdr:nvSpPr>
      <xdr:spPr>
        <a:xfrm>
          <a:off x="3145969" y="4580708"/>
          <a:ext cx="1262744" cy="1428204"/>
        </a:xfrm>
        <a:prstGeom prst="wedgeRectCallout">
          <a:avLst>
            <a:gd name="adj1" fmla="val -207871"/>
            <a:gd name="adj2" fmla="val -583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the exposure of to loss from any position. Try out different values. A value of zero will mean you only want to maximize portfolio growth</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DEAE0D71-3C0A-4977-95C2-F9131C3707BD}"/>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13</xdr:col>
      <xdr:colOff>500742</xdr:colOff>
      <xdr:row>21</xdr:row>
      <xdr:rowOff>130630</xdr:rowOff>
    </xdr:from>
    <xdr:to>
      <xdr:col>16</xdr:col>
      <xdr:colOff>544286</xdr:colOff>
      <xdr:row>27</xdr:row>
      <xdr:rowOff>10885</xdr:rowOff>
    </xdr:to>
    <xdr:sp macro="" textlink="">
      <xdr:nvSpPr>
        <xdr:cNvPr id="9" name="Speech Bubble: Rectangle 8">
          <a:extLst>
            <a:ext uri="{FF2B5EF4-FFF2-40B4-BE49-F238E27FC236}">
              <a16:creationId xmlns:a16="http://schemas.microsoft.com/office/drawing/2014/main" id="{DC54495D-9631-42EF-A1AC-DF2BEC436423}"/>
            </a:ext>
          </a:extLst>
        </xdr:cNvPr>
        <xdr:cNvSpPr/>
      </xdr:nvSpPr>
      <xdr:spPr>
        <a:xfrm>
          <a:off x="15533913" y="5301344"/>
          <a:ext cx="2068287" cy="859970"/>
        </a:xfrm>
        <a:prstGeom prst="wedgeRectCallout">
          <a:avLst>
            <a:gd name="adj1" fmla="val -104066"/>
            <a:gd name="adj2" fmla="val -311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33</xdr:row>
      <xdr:rowOff>21773</xdr:rowOff>
    </xdr:from>
    <xdr:to>
      <xdr:col>4</xdr:col>
      <xdr:colOff>1251855</xdr:colOff>
      <xdr:row>37</xdr:row>
      <xdr:rowOff>0</xdr:rowOff>
    </xdr:to>
    <xdr:sp macro="" textlink="">
      <xdr:nvSpPr>
        <xdr:cNvPr id="10" name="Speech Bubble: Rectangle 9">
          <a:extLst>
            <a:ext uri="{FF2B5EF4-FFF2-40B4-BE49-F238E27FC236}">
              <a16:creationId xmlns:a16="http://schemas.microsoft.com/office/drawing/2014/main" id="{408D9723-E109-4FA2-9972-C7D2C5A8ECD7}"/>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8">
  <rv s="0">
    <v>https://www.bing.com/financeapi/forcetrigger?t=a23yk2&amp;q=XNAS%3aFRG&amp;form=skydnc</v>
    <v>Learn more on Bing</v>
  </rv>
  <rv s="1">
    <v>fr-FR</v>
    <v>a23yk2</v>
    <v>268435456</v>
    <v>1</v>
    <v>Avec Refinitiv</v>
    <v>0</v>
    <v>1</v>
    <v>Franchise Group (XNAS:FRG)</v>
    <v>3</v>
    <v>4</v>
    <v>Finance</v>
    <v>5</v>
    <v>XNAS</v>
    <v>40361910</v>
    <v>2010</v>
    <v>35.545000000000002</v>
    <v>29.66</v>
    <v>1.5530999999999999</v>
    <v>1480878000</v>
    <v>Nasdaq Stock Market</v>
    <v>0.35</v>
    <v>9.5389999999999989E-3</v>
    <v>35.19</v>
    <v>FRG</v>
    <v>44813.875914571094</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37.365000000000002</v>
    <v>55.1</v>
    <v>Specialty Retailers</v>
    <v>0</v>
    <v>4.2625999999999997E-2</v>
    <v>1.5</v>
    <v>Franchise Group</v>
    <v>Franchise Group</v>
    <v>35.56</v>
    <v>6.0991999999999997</v>
    <v>36.69</v>
    <v>37.04</v>
    <v>109 INNOVATION COURT, SUITE J, DELAWARE, OH, 43015 US</v>
    <v>Bourse</v>
    <v>Franchise Group (XNAS:FRG)</v>
    <v>427205</v>
    <v>479165</v>
  </rv>
  <rv s="2">
    <v>1</v>
  </rv>
  <rv s="0">
    <v>https://www.bing.com/financeapi/forcetrigger?t=a1nvvh&amp;q=XNYS%3aATKR&amp;form=skydnc</v>
    <v>Learn more on Bing</v>
  </rv>
  <rv s="1">
    <v>fr-FR</v>
    <v>a1nvvh</v>
    <v>268435456</v>
    <v>1</v>
    <v>Avec Refinitiv</v>
    <v>0</v>
    <v>1</v>
    <v>Atkore (XNYS:ATKR)</v>
    <v>3</v>
    <v>4</v>
    <v>Finance</v>
    <v>5</v>
    <v>XNYS</v>
    <v>41320870</v>
    <v>2010</v>
    <v>85.16</v>
    <v>80.045000000000002</v>
    <v>2.2629999999999999</v>
    <v>3653178000</v>
    <v>New York Stock Exchange</v>
    <v>-2.4</v>
    <v>-2.7146E-2</v>
    <v>84.67</v>
    <v>ATKR</v>
    <v>44813.958333390627</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88.41</v>
    <v>123.53</v>
    <v>Machinery, Equipment &amp; Components</v>
    <v>3</v>
    <v>4.4170999999999995E-2</v>
    <v>3.74</v>
    <v>Atkore</v>
    <v>Atkore</v>
    <v>85.36</v>
    <v>4.3257000000000003</v>
    <v>88.41</v>
    <v>86.01</v>
    <v>16100 SOUTH LATHROP AVENUE, HARVEY, IL, 60426 US</v>
    <v>Bourse</v>
    <v>Atkore (XNYS:ATKR)</v>
    <v>341404</v>
    <v>350027</v>
  </rv>
  <rv s="2">
    <v>4</v>
  </rv>
  <rv s="0">
    <v>https://www.bing.com/financeapi/forcetrigger?t=a1s5jc&amp;q=XNYS%3aVTOL&amp;form=skydnc</v>
    <v>Learn more on Bing</v>
  </rv>
  <rv s="1">
    <v>fr-FR</v>
    <v>a1s5jc</v>
    <v>268435456</v>
    <v>1</v>
    <v>Avec Refinitiv</v>
    <v>0</v>
    <v>1</v>
    <v>Bristow Group (XNYS:VTOL)</v>
    <v>3</v>
    <v>4</v>
    <v>Finance</v>
    <v>5</v>
    <v>XNYS</v>
    <v>27936160</v>
    <v>1999</v>
    <v>27.17</v>
    <v>21.61</v>
    <v>1.3154999999999999</v>
    <v>766289000</v>
    <v>New York Stock Exchange</v>
    <v>0</v>
    <v>0</v>
    <v>27.4</v>
    <v>VTOL</v>
    <v>44813.958333390627</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28.02</v>
    <v>40.1</v>
    <v>Passenger Transportation Services</v>
    <v>6</v>
    <v>1.0950000000000001E-3</v>
    <v>0.03</v>
    <v>Bristow Group</v>
    <v>Bristow Group</v>
    <v>27.89</v>
    <v>342.84280000000001</v>
    <v>27.43</v>
    <v>27.43</v>
    <v>3151 Briarpark Drive, Suite 700, HOUSTON, TX, 77042 US</v>
    <v>Bourse</v>
    <v>Bristow Group (XNYS:VTOL)</v>
    <v>96992</v>
    <v>68412</v>
  </rv>
  <rv s="2">
    <v>7</v>
  </rv>
  <rv s="0">
    <v>https://www.bing.com/financeapi/forcetrigger?t=a1wwsm&amp;q=XNAS%3aLILAK&amp;form=skydnc</v>
    <v>Learn more on Bing</v>
  </rv>
  <rv s="3">
    <v>fr-FR</v>
    <v>a1wwsm</v>
    <v>268435456</v>
    <v>1</v>
    <v>Avec Refinitiv</v>
    <v>6</v>
    <v>7</v>
    <v>Liberty Latin (XNAS:LILAK)</v>
    <v>3</v>
    <v>8</v>
    <v>Finance</v>
    <v>5</v>
    <v>XNAS</v>
    <v>221477400</v>
    <v>2017</v>
    <v>6.55</v>
    <v>6.34</v>
    <v>1.2110000000000001</v>
    <v>1443129000</v>
    <v>Nasdaq Stock Market</v>
    <v>-0.04</v>
    <v>-5.7549999999999997E-3</v>
    <v>6.5</v>
    <v>LILAK</v>
    <v>44813.849473367969</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6.97</v>
    <v>13.98</v>
    <v>Telecommunications Services</v>
    <v>9</v>
    <v>6.9231000000000001E-2</v>
    <v>0.45</v>
    <v>Liberty Latin</v>
    <v>Liberty Latin</v>
    <v>6.55</v>
    <v>6.95</v>
    <v>6.91</v>
    <v>1550 Wewatta Street, Suite 710, DENVER, CO, 80202 US</v>
    <v>Bourse</v>
    <v>Liberty Latin (XNAS:LILAK)</v>
    <v>1230527</v>
    <v>980959</v>
  </rv>
  <rv s="2">
    <v>10</v>
  </rv>
  <rv s="0">
    <v>https://www.bing.com/financeapi/forcetrigger?t=a1r32w&amp;q=XNAS%3aWBD&amp;form=skydnc</v>
    <v>Learn more on Bing</v>
  </rv>
  <rv s="1">
    <v>fr-FR</v>
    <v>a1r32w</v>
    <v>268435456</v>
    <v>1</v>
    <v>Avec Refinitiv</v>
    <v>0</v>
    <v>1</v>
    <v>WARNER BROS. DISCOVERY, INC. (XNAS:WBD)</v>
    <v>3</v>
    <v>4</v>
    <v>Finance</v>
    <v>5</v>
    <v>XNAS</v>
    <v>2427593000</v>
    <v>2008</v>
    <v>12.67</v>
    <v>12.23</v>
    <v>1.369</v>
    <v>31631540000</v>
    <v>Nasdaq Stock Market</v>
    <v>-0.02</v>
    <v>-1.5349999999999999E-3</v>
    <v>12.54</v>
    <v>WBD</v>
    <v>44813.998710717191</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13.09</v>
    <v>31.55</v>
    <v>Media &amp; Publishing</v>
    <v>12</v>
    <v>3.9074999999999999E-2</v>
    <v>0.49</v>
    <v>WARNER BROS. DISCOVERY, INC.</v>
    <v>WARNER BROS. DISCOVERY, INC.</v>
    <v>12.67</v>
    <v>7.2262000000000004</v>
    <v>13.03</v>
    <v>13.01</v>
    <v>230 PARK AVENUE SOUTH, NEW YORK, NY, 10003 US</v>
    <v>Bourse</v>
    <v>WARNER BROS. DISCOVERY, INC. (XNAS:WBD)</v>
    <v>22564952</v>
    <v>28890217</v>
  </rv>
  <rv s="2">
    <v>13</v>
  </rv>
  <rv s="0">
    <v>https://www.bing.com/financeapi/forcetrigger?t=a1yyec&amp;q=XNAS%3aNXST&amp;form=skydnc</v>
    <v>Learn more on Bing</v>
  </rv>
  <rv s="1">
    <v>fr-FR</v>
    <v>a1yyec</v>
    <v>268435456</v>
    <v>1</v>
    <v>Avec Refinitiv</v>
    <v>0</v>
    <v>1</v>
    <v>Nexstar Media (XNAS:NXST)</v>
    <v>3</v>
    <v>4</v>
    <v>Finance</v>
    <v>5</v>
    <v>XNAS</v>
    <v>38793920</v>
    <v>2001</v>
    <v>191.08</v>
    <v>139.68799999999999</v>
    <v>1.4681999999999999</v>
    <v>7579168150</v>
    <v>Nasdaq Stock Market</v>
    <v>0</v>
    <v>0</v>
    <v>190.17</v>
    <v>NXST</v>
    <v>44813.839396805466</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196.76</v>
    <v>204.62</v>
    <v>Media &amp; Publishing</v>
    <v>15</v>
    <v>2.7344E-2</v>
    <v>5.2</v>
    <v>Nexstar Media</v>
    <v>Nexstar Media</v>
    <v>191.09</v>
    <v>8.7876999999999992</v>
    <v>195.37</v>
    <v>195.37</v>
    <v>545 E John Carpenter Fwy Ste 700, IRVING, TX, 75062-3932 US</v>
    <v>Bourse</v>
    <v>Nexstar Media (XNAS:NXST)</v>
    <v>258536</v>
    <v>269322</v>
  </rv>
  <rv s="2">
    <v>16</v>
  </rv>
  <rv s="0">
    <v>https://www.bing.com/financeapi/forcetrigger?t=a1vhzr&amp;q=XNAS%3aHROW&amp;form=skydnc</v>
    <v>Learn more on Bing</v>
  </rv>
  <rv s="1">
    <v>fr-FR</v>
    <v>a1vhzr</v>
    <v>268435456</v>
    <v>1</v>
    <v>Avec Refinitiv</v>
    <v>0</v>
    <v>1</v>
    <v>HARROW HEALTH, INC. (XNAS:HROW)</v>
    <v>3</v>
    <v>4</v>
    <v>Finance</v>
    <v>5</v>
    <v>XNAS</v>
    <v>27069980</v>
    <v>2006</v>
    <v>8.98</v>
    <v>5.4</v>
    <v>0.64900000000000002</v>
    <v>245795400</v>
    <v>Nasdaq Stock Market</v>
    <v>0</v>
    <v>0</v>
    <v>9.0399999999999991</v>
    <v>HROW</v>
    <v>44813.866153228904</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9.25</v>
    <v>12.99</v>
    <v>Pharmaceuticals</v>
    <v>18</v>
    <v>4.4250000000000001E-3</v>
    <v>0.04</v>
    <v>HARROW HEALTH, INC.</v>
    <v>HARROW HEALTH, INC.</v>
    <v>9.1</v>
    <v>41.807299999999998</v>
    <v>9.08</v>
    <v>9.08</v>
    <v>102 WOODMONT BLVD, SUITE 610, NASHVILLE, TN, 37215 US</v>
    <v>Bourse</v>
    <v>HARROW HEALTH, INC. (XNAS:HROW)</v>
    <v>31393</v>
    <v>91572</v>
  </rv>
  <rv s="2">
    <v>19</v>
  </rv>
  <rv s="0">
    <v>https://www.bing.com/financeapi/forcetrigger?t=aaxw8m&amp;q=XTSE%3aECN&amp;form=skydnc</v>
    <v>Learn more on Bing</v>
  </rv>
  <rv s="1">
    <v>fr-FR</v>
    <v>aaxw8m</v>
    <v>268435456</v>
    <v>1</v>
    <v>Avec Refinitiv</v>
    <v>0</v>
    <v>1</v>
    <v>ECN Capital Corp. (XTSE:ECN)</v>
    <v>3</v>
    <v>9</v>
    <v>Finance</v>
    <v>10</v>
    <v>XTSE</v>
    <v>244811900</v>
    <v>2016</v>
    <v>5.05</v>
    <v>3.9539</v>
    <v>1.4545999999999999</v>
    <v>1255885047</v>
    <v>Toronto Stock Exchange</v>
    <v>0</v>
    <v>0</v>
    <v>4.97</v>
    <v>ECN</v>
    <v>44813.833333333336</v>
    <v>ECN Capital Corp est une société financière basée au Canada. La Société se concentre sur la fourniture de solutions d'actifs pour le secteur financier. Elle crée, offre des services, structure et gère des produits financiers et fournit des services de conseil aux institutions financières. La Société exerce ses activités dans trois secteurs d'activité, tels que Service Finance, Triad Financial Services et The Kessler Group. Son service de financement, qui fournit des prêts pour l'amélioration de l'habitat. Triad Financial Services est destiné aux prêts aux maisons préfabriquées. Le groupe Kessler, qui propose des portefeuilles de cartes de crédit à la consommation. La Société offre des portefeuilles de prêts à la consommation et de cartes de crédit non garantis et garantis.</v>
    <v>CAD</v>
    <v>462</v>
    <v>XTSE</v>
    <v>5.25</v>
    <v>7.2850000000000001</v>
    <v>Banking Services</v>
    <v>21</v>
    <v>3.2192999999999999E-2</v>
    <v>0.16</v>
    <v>ECN Capital Corp.</v>
    <v>ECN Capital Corp.</v>
    <v>5.05</v>
    <v>214.03</v>
    <v>5.13</v>
    <v>5.13</v>
    <v>Royal Bank Plaza, 200 Bay Street, North Tower, Suite 1625, TORONTO, ON, M5J 2J1 CA</v>
    <v>Bourse</v>
    <v>ECN Capital Corp. (XTSE:ECN)</v>
    <v>269635</v>
    <v>916390</v>
  </rv>
  <rv s="2">
    <v>22</v>
  </rv>
  <rv s="0">
    <v>https://www.bing.com/financeapi/forcetrigger?t=c1w7rw&amp;q=XNYS%3aPL&amp;form=skydnc</v>
    <v>Learn more on Bing</v>
  </rv>
  <rv s="1">
    <v>fr-FR</v>
    <v>c1w7rw</v>
    <v>268435456</v>
    <v>1</v>
    <v>Avec Refinitiv</v>
    <v>0</v>
    <v>1</v>
    <v>Planet Labs (XNYS:PL)</v>
    <v>3</v>
    <v>4</v>
    <v>Finance</v>
    <v>5</v>
    <v>XNYS</v>
    <v>268686800</v>
    <v>2020</v>
    <v>5.21</v>
    <v>3.7008000000000001</v>
    <v>1.738</v>
    <v>1440161248</v>
    <v>New York Stock Exchange</v>
    <v>0</v>
    <v>0</v>
    <v>5.21</v>
    <v>PL</v>
    <v>44813.976220231249</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5.4950000000000001</v>
    <v>12.15</v>
    <v>Aerospace &amp; Defense</v>
    <v>24</v>
    <v>2.8791000000000001E-2</v>
    <v>0.15</v>
    <v>Planet Labs</v>
    <v>Planet Labs</v>
    <v>5.22</v>
    <v>0</v>
    <v>5.36</v>
    <v>5.36</v>
    <v>645 Harrison Street, Floor 4, SAN FRANCISCO, CA, 94107 US</v>
    <v>Bourse</v>
    <v>Planet Labs (XNYS:PL)</v>
    <v>1602133</v>
    <v>1514282</v>
  </rv>
  <rv s="2">
    <v>25</v>
  </rv>
  <rv s="0">
    <v>https://www.bing.com/financeapi/forcetrigger?t=a1otrw&amp;q=XNYS%3aBRK.B&amp;form=skydnc</v>
    <v>Learn more on Bing</v>
  </rv>
  <rv s="1">
    <v>fr-FR</v>
    <v>a1otrw</v>
    <v>268435456</v>
    <v>1</v>
    <v>Avec Refinitiv</v>
    <v>0</v>
    <v>1</v>
    <v>BERKSHIRE HATHAWAY INC. (XNYS:BRK.B)</v>
    <v>3</v>
    <v>4</v>
    <v>Finance</v>
    <v>5</v>
    <v>XNYS</v>
    <v>1467340</v>
    <v>1998</v>
    <v>284.13</v>
    <v>263.68</v>
    <v>0.93600000000000005</v>
    <v>629681900000</v>
    <v>New York Stock Exchange</v>
    <v>-0.08</v>
    <v>-2.7990000000000003E-4</v>
    <v>283.33999999999997</v>
    <v>BRK.B</v>
    <v>44813.997631654689</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287.02</v>
    <v>362.1</v>
    <v>Consumer Goods Conglomerates</v>
    <v>27</v>
    <v>8.5760000000000003E-3</v>
    <v>2.4300000000000002</v>
    <v>BERKSHIRE HATHAWAY INC.</v>
    <v>BERKSHIRE HATHAWAY INC.</v>
    <v>284.53500000000003</v>
    <v>7.1191000000000004</v>
    <v>285.77</v>
    <v>285.69</v>
    <v>3555 Farnam St, OMAHA, NE, 68131 US</v>
    <v>Bourse</v>
    <v>BERKSHIRE HATHAWAY INC. (XNYS:BRK.B)</v>
    <v>3128967</v>
    <v>3662484</v>
  </rv>
  <rv s="2">
    <v>28</v>
  </rv>
  <rv s="0">
    <v>https://www.bing.com/financeapi/forcetrigger?t=a21spr&amp;q=XNAS%3aRDI&amp;form=skydnc</v>
    <v>Learn more on Bing</v>
  </rv>
  <rv s="1">
    <v>fr-FR</v>
    <v>a21spr</v>
    <v>268435456</v>
    <v>1</v>
    <v>Avec Refinitiv</v>
    <v>0</v>
    <v>1</v>
    <v>Reading Intl (XNAS:RDI)</v>
    <v>3</v>
    <v>4</v>
    <v>Finance</v>
    <v>11</v>
    <v>XNAS</v>
    <v>23724410</v>
    <v>1999</v>
    <v>3.78</v>
    <v>3.25</v>
    <v>1.5257000000000001</v>
    <v>115161900</v>
    <v>Nasdaq Stock Market</v>
    <v>0</v>
    <v>0</v>
    <v>3.81</v>
    <v>RDI</v>
    <v>44813.833382464843</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3.98</v>
    <v>5.41</v>
    <v>Hotels &amp; Entertainment Services</v>
    <v>30</v>
    <v>-2.6250000000000002E-3</v>
    <v>-0.01</v>
    <v>Reading Intl</v>
    <v>Reading Intl</v>
    <v>3.98</v>
    <v>2.4666000000000001</v>
    <v>3.8</v>
    <v>3.8</v>
    <v>5995 Sepulveda Blvd Ste 300, CULVER CITY, CA, 90230-6415 US</v>
    <v>Bourse</v>
    <v>Reading Intl (XNAS:RDI)</v>
    <v>47017</v>
    <v>19151</v>
  </rv>
  <rv s="2">
    <v>31</v>
  </rv>
  <rv s="0">
    <v>https://www.bing.com/financeapi/forcetrigger?t=ab1xoc&amp;q=XTSE%3aXIC&amp;form=skydnc</v>
    <v>Learn more on Bing</v>
  </rv>
  <rv s="4">
    <v>fr-FR</v>
    <v>ab1xoc</v>
    <v>268435456</v>
    <v>1</v>
    <v>Avec Refinitiv</v>
    <v>12</v>
    <v>13</v>
    <v>iShrs Core S&amp;P/TSX CC Idx ETF (XTSE:XIC)</v>
    <v>14</v>
    <v>15</v>
    <v>Finance</v>
    <v>16</v>
    <v>XTSE</v>
    <v>31.29</v>
    <v>28.93</v>
    <v>0.997</v>
    <v>9055323705.75</v>
    <v>Toronto Stock Exchange</v>
    <v>31.03</v>
    <v>XIC</v>
    <v>44813.833229166667</v>
    <v>CAD</v>
    <v>31.64</v>
    <v>35.414999999999999</v>
    <v>33</v>
    <v>1.8692E-2</v>
    <v>0.57999999999999996</v>
    <v>iShrs Core S&amp;P/TSX CC Idx ETF</v>
    <v>31.29</v>
    <v>31.61</v>
    <v>5.9999999999999995E-4</v>
    <v>Fonds coté en bourse</v>
    <v>iShrs Core S&amp;P/TSX CC Idx ETF (XTSE:XIC)</v>
    <v>331551</v>
  </rv>
  <rv s="2">
    <v>34</v>
  </rv>
  <rv s="5">
    <v>12</v>
    <v>Prix</v>
    <v>0</v>
  </rv>
  <rv s="6">
    <v>12</v>
    <v>1</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Prix (horaires prolongés)"/>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5">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spbArrays>
  <spbData count="17">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0</v>
      <v>Name</v>
      <v>LearnMoreOnLink</v>
    </spb>
    <spb s="2">
      <v>0</v>
      <v>0</v>
      <v>0</v>
    </spb>
    <spb s="3">
      <v>2</v>
      <v>2</v>
      <v>2</v>
      <v>2</v>
    </spb>
    <spb s="4">
      <v>1</v>
      <v>2</v>
      <v>3</v>
      <v>3</v>
      <v>1</v>
      <v>1</v>
      <v>1</v>
      <v>4</v>
      <v>4</v>
      <v>1</v>
      <v>4</v>
      <v>5</v>
      <v>6</v>
      <v>1</v>
      <v>7</v>
      <v>4</v>
      <v>1</v>
      <v>1</v>
      <v>8</v>
      <v>9</v>
      <v>1</v>
      <v>1</v>
      <v>5</v>
    </spb>
    <spb s="5">
      <v xml:space="preserve">à la clôture </v>
      <v xml:space="preserve">depuis la clôture précédente </v>
      <v>Source: Nasdaq</v>
      <v xml:space="preserve">depuis la clôture précédente </v>
      <v>GMT</v>
      <v>Différé de 15 minutes</v>
      <v xml:space="preserve">depuis la clôture </v>
      <v xml:space="preserve">depuis la clôture </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1</v>
      <v>Name</v>
      <v>LearnMoreOnLink</v>
    </spb>
    <spb s="7">
      <v>1</v>
      <v>2</v>
      <v>3</v>
      <v>1</v>
      <v>1</v>
      <v>1</v>
      <v>4</v>
      <v>4</v>
      <v>1</v>
      <v>4</v>
      <v>5</v>
      <v>6</v>
      <v>1</v>
      <v>7</v>
      <v>4</v>
      <v>1</v>
      <v>1</v>
      <v>8</v>
      <v>9</v>
      <v>1</v>
      <v>1</v>
      <v>5</v>
    </spb>
    <spb s="4">
      <v>10</v>
      <v>2</v>
      <v>3</v>
      <v>3</v>
      <v>10</v>
      <v>10</v>
      <v>10</v>
      <v>4</v>
      <v>4</v>
      <v>10</v>
      <v>4</v>
      <v>5</v>
      <v>6</v>
      <v>10</v>
      <v>7</v>
      <v>4</v>
      <v>10</v>
      <v>10</v>
      <v>11</v>
      <v>9</v>
      <v>10</v>
      <v>10</v>
      <v>5</v>
    </spb>
    <spb s="8">
      <v xml:space="preserve">à la clôture </v>
      <v xml:space="preserve">depuis la clôture précédente </v>
      <v xml:space="preserve">depuis la clôture précédente </v>
      <v>GMT</v>
      <v>Différé de 20 minutes</v>
      <v xml:space="preserve">depuis la clôture </v>
      <v xml:space="preserve">depuis la clôture </v>
    </spb>
    <spb s="5">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9">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2</v>
      <v>Name</v>
      <v>LearnMoreOnLink</v>
    </spb>
    <spb s="10">
      <v>2</v>
      <v>2</v>
      <v>2</v>
    </spb>
    <spb s="11">
      <v>10</v>
      <v>2</v>
      <v>3</v>
      <v>10</v>
      <v>10</v>
      <v>10</v>
      <v>4</v>
      <v>10</v>
      <v>5</v>
      <v>5</v>
      <v>6</v>
      <v>10</v>
      <v>10</v>
      <v>10</v>
      <v>11</v>
      <v>9</v>
    </spb>
    <spb s="12">
      <v>Différé de 20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3">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Modification (%)" t="s"/>
    <k n="Dernière heure d'échange" t="s"/>
    <k n="Prix (horaires prolongés)" t="s"/>
    <k n="Changement (horaires prolongés)" t="s"/>
    <k n="Changement en % (horaires prolongés)"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L52"/>
  <sheetViews>
    <sheetView tabSelected="1" zoomScale="55" zoomScaleNormal="55" workbookViewId="0">
      <selection activeCell="E14" sqref="E14"/>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8.796875" style="3" customWidth="1"/>
    <col min="11" max="11" width="12.3984375" style="3" customWidth="1"/>
    <col min="12" max="12" width="14.69921875" style="3" customWidth="1"/>
    <col min="13" max="16384" width="8.796875" style="3"/>
  </cols>
  <sheetData>
    <row r="1" spans="1:12" s="29" customFormat="1" ht="98.4" customHeight="1" x14ac:dyDescent="0.3">
      <c r="B1" s="29" t="s">
        <v>30</v>
      </c>
      <c r="C1" s="29" t="str">
        <f>CONCATENATE("Upside (",B24,"-yr)")</f>
        <v>Upside (2-yr)</v>
      </c>
      <c r="D1" s="29" t="s">
        <v>29</v>
      </c>
      <c r="E1" s="31" t="s">
        <v>28</v>
      </c>
      <c r="F1" s="31" t="s">
        <v>27</v>
      </c>
      <c r="G1" s="31" t="s">
        <v>26</v>
      </c>
      <c r="H1" s="31" t="s">
        <v>25</v>
      </c>
      <c r="I1" s="30" t="s">
        <v>24</v>
      </c>
      <c r="J1" s="31" t="s">
        <v>23</v>
      </c>
      <c r="K1" s="30" t="s">
        <v>22</v>
      </c>
      <c r="L1" s="30" t="s">
        <v>21</v>
      </c>
    </row>
    <row r="2" spans="1:12" ht="15.6" x14ac:dyDescent="0.3">
      <c r="A2" s="28" t="e" vm="1">
        <v>#VALUE!</v>
      </c>
      <c r="B2" s="25" cm="1">
        <f t="array" ref="B2">_FV(A2,"Prix")</f>
        <v>36.69</v>
      </c>
      <c r="C2" s="16">
        <v>150</v>
      </c>
      <c r="D2" s="16">
        <v>30</v>
      </c>
      <c r="E2" s="23">
        <v>0.65</v>
      </c>
      <c r="F2" s="15">
        <f>1-E2</f>
        <v>0.35</v>
      </c>
      <c r="G2" s="15">
        <f>(C2/B2)-1</f>
        <v>3.0883074407195421</v>
      </c>
      <c r="H2" s="15">
        <f>1-(D2/B2)</f>
        <v>0.18233851185609151</v>
      </c>
      <c r="I2" s="22">
        <v>9.9999999999967712E-2</v>
      </c>
      <c r="J2" s="21">
        <f>(E2/H2-F2/G2)</f>
        <v>3.4514675205486132</v>
      </c>
      <c r="K2" s="20">
        <f>((1+J2*G2)^E2*(1-J2*H2)^F2)</f>
        <v>3.4872082462854408</v>
      </c>
      <c r="L2" s="20">
        <f>((1+G2)^E2*(1-H2)^F2)</f>
        <v>2.3275769395958834</v>
      </c>
    </row>
    <row r="3" spans="1:12" ht="15.6" x14ac:dyDescent="0.3">
      <c r="A3" s="27" t="e" vm="2">
        <v>#VALUE!</v>
      </c>
      <c r="B3" s="25" cm="1">
        <f t="array" ref="B3">_FV(A3,"Prix")</f>
        <v>88.41</v>
      </c>
      <c r="C3" s="16">
        <v>250</v>
      </c>
      <c r="D3" s="16">
        <v>75</v>
      </c>
      <c r="E3" s="23">
        <v>0.7</v>
      </c>
      <c r="F3" s="15">
        <f>1-E3</f>
        <v>0.30000000000000004</v>
      </c>
      <c r="G3" s="15">
        <f>(C3/B3)-1</f>
        <v>1.8277344191833502</v>
      </c>
      <c r="H3" s="15">
        <f>1-(D3/B3)</f>
        <v>0.15167967424499484</v>
      </c>
      <c r="I3" s="22">
        <v>9.7060780796662582E-2</v>
      </c>
      <c r="J3" s="21">
        <f>(E3/H3-F3/G3)</f>
        <v>4.4508511820384493</v>
      </c>
      <c r="K3" s="20">
        <f>((1+J3*G3)^E3*(1-J3*H3)^F3)</f>
        <v>3.3575196597396864</v>
      </c>
      <c r="L3" s="20">
        <f>((1+G3)^E3*(1-H3)^F3)</f>
        <v>1.970493445130497</v>
      </c>
    </row>
    <row r="4" spans="1:12" ht="15.6" x14ac:dyDescent="0.3">
      <c r="A4" s="27" t="e" vm="3">
        <v>#VALUE!</v>
      </c>
      <c r="B4" s="25" cm="1">
        <f t="array" ref="B4">_FV(A4,"Prix")</f>
        <v>27.43</v>
      </c>
      <c r="C4" s="16">
        <v>77</v>
      </c>
      <c r="D4" s="16">
        <v>26</v>
      </c>
      <c r="E4" s="23">
        <v>0.65</v>
      </c>
      <c r="F4" s="15">
        <f>1-E4</f>
        <v>0.35</v>
      </c>
      <c r="G4" s="15">
        <f>(C4/B4)-1</f>
        <v>1.8071454611738971</v>
      </c>
      <c r="H4" s="15">
        <f>1-(D4/B4)</f>
        <v>5.2132701421800931E-2</v>
      </c>
      <c r="I4" s="22">
        <v>8.6545595741391243E-2</v>
      </c>
      <c r="J4" s="21">
        <f>(E4/H4-F4/G4)</f>
        <v>12.274506207933689</v>
      </c>
      <c r="K4" s="20">
        <f>((1+J4*G4)^E4*(1-J4*H4)^F4)</f>
        <v>5.3962570303151356</v>
      </c>
      <c r="L4" s="20">
        <f>((1+G4)^E4*(1-H4)^F4)</f>
        <v>1.9197020804405149</v>
      </c>
    </row>
    <row r="5" spans="1:12" ht="15.6" x14ac:dyDescent="0.3">
      <c r="A5" s="27" t="e" vm="4">
        <v>#VALUE!</v>
      </c>
      <c r="B5" s="25" cm="1">
        <f t="array" ref="B5">_FV(A5,"Prix")</f>
        <v>6.95</v>
      </c>
      <c r="C5" s="16">
        <v>21</v>
      </c>
      <c r="D5" s="16">
        <v>5</v>
      </c>
      <c r="E5" s="23">
        <v>0.65</v>
      </c>
      <c r="F5" s="15">
        <f>1-E5</f>
        <v>0.35</v>
      </c>
      <c r="G5" s="15">
        <f>(C5/B5)-1</f>
        <v>2.0215827338129495</v>
      </c>
      <c r="H5" s="15">
        <f>1-(D5/B5)</f>
        <v>0.28057553956834536</v>
      </c>
      <c r="I5" s="22">
        <v>6.0073993549857978E-2</v>
      </c>
      <c r="J5" s="21">
        <f>(E5/H5-F5/G5)</f>
        <v>2.1435349940688018</v>
      </c>
      <c r="K5" s="20">
        <f>((1+J5*G5)^E5*(1-J5*H5)^F5)</f>
        <v>2.1514351960996088</v>
      </c>
      <c r="L5" s="20">
        <f>((1+G5)^E5*(1-H5)^F5)</f>
        <v>1.8285095734808636</v>
      </c>
    </row>
    <row r="6" spans="1:12" ht="15.6" x14ac:dyDescent="0.3">
      <c r="A6" s="27" t="e" vm="5">
        <v>#VALUE!</v>
      </c>
      <c r="B6" s="25" cm="1">
        <f t="array" ref="B6">_FV(A6,"Prix")</f>
        <v>13.03</v>
      </c>
      <c r="C6" s="16">
        <v>50</v>
      </c>
      <c r="D6" s="16">
        <v>7</v>
      </c>
      <c r="E6" s="23">
        <v>0.6</v>
      </c>
      <c r="F6" s="15">
        <f>1-E6</f>
        <v>0.4</v>
      </c>
      <c r="G6" s="15">
        <f>(C6/B6)-1</f>
        <v>2.8372985418265544</v>
      </c>
      <c r="H6" s="15">
        <f>1-(D6/B6)</f>
        <v>0.46277820414428239</v>
      </c>
      <c r="I6" s="22">
        <v>4.8449686751015915E-2</v>
      </c>
      <c r="J6" s="21">
        <f>(E6/H6-F6/G6)</f>
        <v>1.1555382406334571</v>
      </c>
      <c r="K6" s="20">
        <f>((1+J6*G6)^E6*(1-J6*H6)^F6)</f>
        <v>1.7613798949177764</v>
      </c>
      <c r="L6" s="20">
        <f>((1+G6)^E6*(1-H6)^F6)</f>
        <v>1.7477399073536712</v>
      </c>
    </row>
    <row r="7" spans="1:12" ht="15.6" x14ac:dyDescent="0.3">
      <c r="A7" s="27" t="e" vm="6">
        <v>#VALUE!</v>
      </c>
      <c r="B7" s="25" cm="1">
        <f t="array" ref="B7">_FV(A7,"Prix")</f>
        <v>195.37</v>
      </c>
      <c r="C7" s="16">
        <v>500</v>
      </c>
      <c r="D7" s="16">
        <v>170</v>
      </c>
      <c r="E7" s="23">
        <v>0.7</v>
      </c>
      <c r="F7" s="15">
        <f>1-E7</f>
        <v>0.30000000000000004</v>
      </c>
      <c r="G7" s="15">
        <f>(C7/B7)-1</f>
        <v>1.5592465578133798</v>
      </c>
      <c r="H7" s="15">
        <f>1-(D7/B7)</f>
        <v>0.12985617034345087</v>
      </c>
      <c r="I7" s="22">
        <v>9.3384820970403459E-2</v>
      </c>
      <c r="J7" s="21">
        <f>(E7/H7-F7/G7)</f>
        <v>5.1981788073750401</v>
      </c>
      <c r="K7" s="20">
        <f>((1+J7*G7)^E7*(1-J7*H7)^F7)</f>
        <v>3.3501389187058952</v>
      </c>
      <c r="L7" s="20">
        <f>((1+G7)^E7*(1-H7)^F7)</f>
        <v>1.851636797642181</v>
      </c>
    </row>
    <row r="8" spans="1:12" ht="15.6" x14ac:dyDescent="0.3">
      <c r="A8" s="27" t="e" vm="7">
        <v>#VALUE!</v>
      </c>
      <c r="B8" s="25" cm="1">
        <f t="array" ref="B8">_FV(A8,"Prix")</f>
        <v>9.08</v>
      </c>
      <c r="C8" s="16">
        <v>20</v>
      </c>
      <c r="D8" s="16">
        <v>6</v>
      </c>
      <c r="E8" s="23">
        <v>0.6</v>
      </c>
      <c r="F8" s="15">
        <f>1-E8</f>
        <v>0.4</v>
      </c>
      <c r="G8" s="15">
        <f>(C8/B8)-1</f>
        <v>1.2026431718061672</v>
      </c>
      <c r="H8" s="15">
        <f>1-(D8/B8)</f>
        <v>0.33920704845814975</v>
      </c>
      <c r="I8" s="22">
        <v>2.5964227753011074E-4</v>
      </c>
      <c r="J8" s="21">
        <f>(E8/H8-F8/G8)</f>
        <v>1.4362304362304361</v>
      </c>
      <c r="K8" s="20">
        <f>((1+J8*G8)^E8*(1-J8*H8)^F8)</f>
        <v>1.3977300337917851</v>
      </c>
      <c r="L8" s="20">
        <f>((1+G8)^E8*(1-H8)^F8)</f>
        <v>1.3607948250383521</v>
      </c>
    </row>
    <row r="9" spans="1:12" ht="15.6" x14ac:dyDescent="0.3">
      <c r="A9" s="27" t="e" vm="8">
        <v>#VALUE!</v>
      </c>
      <c r="B9" s="25" cm="1">
        <f t="array" ref="B9">_FV(A9,"Prix")</f>
        <v>5.13</v>
      </c>
      <c r="C9" s="16">
        <v>12</v>
      </c>
      <c r="D9" s="16">
        <v>4</v>
      </c>
      <c r="E9" s="23">
        <v>0.7</v>
      </c>
      <c r="F9" s="15">
        <f>1-E9</f>
        <v>0.30000000000000004</v>
      </c>
      <c r="G9" s="15">
        <f>(C9/B9)-1</f>
        <v>1.3391812865497075</v>
      </c>
      <c r="H9" s="15">
        <f>1-(D9/B9)</f>
        <v>0.22027290448343073</v>
      </c>
      <c r="I9" s="22">
        <v>8.4147878410433655E-2</v>
      </c>
      <c r="J9" s="21">
        <f>(E9/H9-F9/G9)</f>
        <v>2.9538586389457828</v>
      </c>
      <c r="K9" s="20">
        <f>((1+J9*G9)^E9*(1-J9*H9)^F9)</f>
        <v>2.236418416108223</v>
      </c>
      <c r="L9" s="20">
        <f>((1+G9)^E9*(1-H9)^F9)</f>
        <v>1.6823932007599165</v>
      </c>
    </row>
    <row r="10" spans="1:12" ht="15.6" x14ac:dyDescent="0.3">
      <c r="A10" s="27" t="e" vm="9">
        <v>#VALUE!</v>
      </c>
      <c r="B10" s="25" cm="1">
        <f t="array" ref="B10">_FV(A10,"Prix")</f>
        <v>5.36</v>
      </c>
      <c r="C10" s="16">
        <v>20</v>
      </c>
      <c r="D10" s="16">
        <v>4</v>
      </c>
      <c r="E10" s="23">
        <v>0.65</v>
      </c>
      <c r="F10" s="15">
        <f>1-E10</f>
        <v>0.35</v>
      </c>
      <c r="G10" s="15">
        <f>(C10/B10)-1</f>
        <v>2.7313432835820892</v>
      </c>
      <c r="H10" s="15">
        <f>1-(D10/B10)</f>
        <v>0.25373134328358216</v>
      </c>
      <c r="I10" s="22">
        <v>0.1</v>
      </c>
      <c r="J10" s="21">
        <f>(E10/H10-F10/G10)</f>
        <v>2.4336226293796202</v>
      </c>
      <c r="K10" s="20">
        <f>((1+J10*G10)^E10*(1-J10*H10)^F10)</f>
        <v>2.6803889119197475</v>
      </c>
      <c r="L10" s="20">
        <f>((1+G10)^E10*(1-H10)^F10)</f>
        <v>2.1243482068102719</v>
      </c>
    </row>
    <row r="11" spans="1:12" ht="15.6" x14ac:dyDescent="0.3">
      <c r="A11" s="27" t="e" vm="10">
        <v>#VALUE!</v>
      </c>
      <c r="B11" s="25" cm="1">
        <f t="array" ref="B11">_FV(A11,"Prix")</f>
        <v>285.77</v>
      </c>
      <c r="C11" s="16">
        <f>362</f>
        <v>362</v>
      </c>
      <c r="D11" s="16">
        <v>250</v>
      </c>
      <c r="E11" s="23">
        <v>0.65</v>
      </c>
      <c r="F11" s="15">
        <f>1-E11</f>
        <v>0.35</v>
      </c>
      <c r="G11" s="15">
        <f>(C11/B11)-1</f>
        <v>0.26675298316828222</v>
      </c>
      <c r="H11" s="15">
        <f>1-(D11/B11)</f>
        <v>0.12517059173461165</v>
      </c>
      <c r="I11" s="22">
        <v>5.1340317208913836E-14</v>
      </c>
      <c r="J11" s="21">
        <f>(E11/H11-F11/G11)</f>
        <v>3.8808377571942825</v>
      </c>
      <c r="K11" s="20">
        <f>((1+J11*G11)^E11*(1-J11*H11)^F11)</f>
        <v>1.2574888328743277</v>
      </c>
      <c r="L11" s="20">
        <f>((1+G11)^E11*(1-H11)^F11)</f>
        <v>1.1128149181128502</v>
      </c>
    </row>
    <row r="12" spans="1:12" ht="15.6" x14ac:dyDescent="0.3">
      <c r="A12" s="27" t="e" vm="11">
        <v>#VALUE!</v>
      </c>
      <c r="B12" s="25" cm="1">
        <f t="array" ref="B12">_FV(A12,"Prix")</f>
        <v>3.8</v>
      </c>
      <c r="C12" s="16">
        <v>8</v>
      </c>
      <c r="D12" s="16">
        <v>4</v>
      </c>
      <c r="E12" s="23">
        <v>0.65</v>
      </c>
      <c r="F12" s="15">
        <f>1-E12</f>
        <v>0.35</v>
      </c>
      <c r="G12" s="15">
        <f>(C12/B12)-1</f>
        <v>1.1052631578947367</v>
      </c>
      <c r="H12" s="15">
        <f>1-(D12/B12)</f>
        <v>-5.2631578947368363E-2</v>
      </c>
      <c r="I12" s="22">
        <v>3.0077601502661064E-2</v>
      </c>
      <c r="J12" s="21">
        <f>(E12/H12-F12/G12)</f>
        <v>-12.66666666666668</v>
      </c>
      <c r="K12" s="20" t="e">
        <f>((1+J12*G12)^E12*(1-J12*H12)^F12)</f>
        <v>#NUM!</v>
      </c>
      <c r="L12" s="20">
        <f>((1+G12)^E12*(1-H12)^F12)</f>
        <v>1.6517559955721068</v>
      </c>
    </row>
    <row r="13" spans="1:12" ht="15.6" x14ac:dyDescent="0.3">
      <c r="A13" s="27" t="e" vm="12">
        <v>#VALUE!</v>
      </c>
      <c r="B13" s="25" cm="1">
        <f t="array" ref="B13">_FV(A13,"Prix")</f>
        <v>31.61</v>
      </c>
      <c r="C13" s="16">
        <v>36</v>
      </c>
      <c r="D13" s="16">
        <v>26</v>
      </c>
      <c r="E13" s="23">
        <v>0.65</v>
      </c>
      <c r="F13" s="15">
        <f>1-E13</f>
        <v>0.35</v>
      </c>
      <c r="G13" s="15">
        <f>(C13/B13)-1</f>
        <v>0.1388801012337868</v>
      </c>
      <c r="H13" s="15">
        <f>1-(D13/B13)</f>
        <v>0.17747548244226508</v>
      </c>
      <c r="I13" s="22">
        <v>0</v>
      </c>
      <c r="J13" s="21">
        <f>(E13/H13-F13/G13)</f>
        <v>1.1423182650571113</v>
      </c>
      <c r="K13" s="20">
        <f>((1+J13*G13)^E13*(1-J13*H13)^F13)</f>
        <v>1.0165507273553536</v>
      </c>
      <c r="L13" s="20">
        <f>((1+G13)^E13*(1-H13)^F13)</f>
        <v>1.0162786486910793</v>
      </c>
    </row>
    <row r="14" spans="1:12" ht="15.6" x14ac:dyDescent="0.3">
      <c r="A14" s="27"/>
      <c r="B14" s="25" t="e" cm="1" vm="13">
        <f t="array" ref="B14">_FV(A14,"Prix")</f>
        <v>#VALUE!</v>
      </c>
      <c r="C14" s="24"/>
      <c r="D14" s="8"/>
      <c r="E14" s="23"/>
      <c r="F14" s="15">
        <f>1-E14</f>
        <v>1</v>
      </c>
      <c r="G14" s="15" t="e" vm="14">
        <f>(C14/B14)-1</f>
        <v>#VALUE!</v>
      </c>
      <c r="H14" s="15" t="e" vm="14">
        <f>1-(D14/B14)</f>
        <v>#VALUE!</v>
      </c>
      <c r="I14" s="22"/>
      <c r="J14" s="21" t="e" vm="14">
        <f>(E14/H14-F14/G14)</f>
        <v>#VALUE!</v>
      </c>
      <c r="K14" s="20" t="e" vm="14">
        <f>((1+J14*G14)^E14*(1-J14*H14)^F14)</f>
        <v>#VALUE!</v>
      </c>
      <c r="L14" s="20" t="e" vm="14">
        <f>((1+G14)^E14*(1-H14)^F14)</f>
        <v>#VALUE!</v>
      </c>
    </row>
    <row r="15" spans="1:12" ht="15.6" x14ac:dyDescent="0.3">
      <c r="A15" s="27"/>
      <c r="B15" s="25" t="e" cm="1" vm="13">
        <f t="array" ref="B15">_FV(A15,"Prix")</f>
        <v>#VALUE!</v>
      </c>
      <c r="C15" s="24"/>
      <c r="D15" s="8"/>
      <c r="E15" s="23"/>
      <c r="F15" s="15">
        <f>1-E15</f>
        <v>1</v>
      </c>
      <c r="G15" s="15" t="e" vm="14">
        <f>(C15/B15)-1</f>
        <v>#VALUE!</v>
      </c>
      <c r="H15" s="15" t="e" vm="14">
        <f>1-(D15/B15)</f>
        <v>#VALUE!</v>
      </c>
      <c r="I15" s="22"/>
      <c r="J15" s="21" t="e" vm="14">
        <f>(E15/H15-F15/G15)</f>
        <v>#VALUE!</v>
      </c>
      <c r="K15" s="20" t="e" vm="14">
        <f>((1+J15*G15)^E15*(1-J15*H15)^F15)</f>
        <v>#VALUE!</v>
      </c>
      <c r="L15" s="20" t="e" vm="14">
        <f>((1+G15)^E15*(1-H15)^F15)</f>
        <v>#VALUE!</v>
      </c>
    </row>
    <row r="16" spans="1:12" ht="15.6" x14ac:dyDescent="0.3">
      <c r="A16" s="27"/>
      <c r="B16" s="25" t="e" cm="1" vm="13">
        <f t="array" ref="B16">_FV(A16,"Prix")</f>
        <v>#VALUE!</v>
      </c>
      <c r="C16" s="24"/>
      <c r="D16" s="8"/>
      <c r="E16" s="23"/>
      <c r="F16" s="15">
        <f>1-E16</f>
        <v>1</v>
      </c>
      <c r="G16" s="15" t="e" vm="14">
        <f>(C16/B16)-1</f>
        <v>#VALUE!</v>
      </c>
      <c r="H16" s="15" t="e" vm="14">
        <f>1-(D16/B16)</f>
        <v>#VALUE!</v>
      </c>
      <c r="I16" s="22"/>
      <c r="J16" s="21" t="e" vm="14">
        <f>(E16/H16-F16/G16)</f>
        <v>#VALUE!</v>
      </c>
      <c r="K16" s="20" t="e" vm="14">
        <f>((1+J16*G16)^E16*(1-J16*H16)^F16)</f>
        <v>#VALUE!</v>
      </c>
      <c r="L16" s="20" t="e" vm="14">
        <f>((1+G16)^E16*(1-H16)^F16)</f>
        <v>#VALUE!</v>
      </c>
    </row>
    <row r="17" spans="1:12" ht="15.6" x14ac:dyDescent="0.3">
      <c r="A17" s="27"/>
      <c r="B17" s="25" t="e" cm="1" vm="13">
        <f t="array" ref="B17">_FV(A17,"Prix")</f>
        <v>#VALUE!</v>
      </c>
      <c r="C17" s="24"/>
      <c r="D17" s="8"/>
      <c r="E17" s="23"/>
      <c r="F17" s="15">
        <f>1-E17</f>
        <v>1</v>
      </c>
      <c r="G17" s="15" t="e" vm="14">
        <f>(C17/B17)-1</f>
        <v>#VALUE!</v>
      </c>
      <c r="H17" s="15" t="e" vm="14">
        <f>1-(D17/B17)</f>
        <v>#VALUE!</v>
      </c>
      <c r="I17" s="22"/>
      <c r="J17" s="21" t="e" vm="14">
        <f>(E17/H17-F17/G17)</f>
        <v>#VALUE!</v>
      </c>
      <c r="K17" s="20" t="e" vm="14">
        <f>((1+J17*G17)^E17*(1-J17*H17)^F17)</f>
        <v>#VALUE!</v>
      </c>
      <c r="L17" s="20" t="e" vm="14">
        <f>((1+G17)^E17*(1-H17)^F17)</f>
        <v>#VALUE!</v>
      </c>
    </row>
    <row r="18" spans="1:12" ht="15.6" x14ac:dyDescent="0.3">
      <c r="A18" s="27"/>
      <c r="B18" s="25" t="e" cm="1" vm="13">
        <f t="array" ref="B18">_FV(A18,"Prix")</f>
        <v>#VALUE!</v>
      </c>
      <c r="C18" s="24"/>
      <c r="D18" s="8"/>
      <c r="E18" s="23"/>
      <c r="F18" s="15">
        <f>1-E18</f>
        <v>1</v>
      </c>
      <c r="G18" s="15" t="e" vm="14">
        <f>(C18/B18)-1</f>
        <v>#VALUE!</v>
      </c>
      <c r="H18" s="15" t="e" vm="14">
        <f>1-(D18/B18)</f>
        <v>#VALUE!</v>
      </c>
      <c r="I18" s="22"/>
      <c r="J18" s="21" t="e" vm="14">
        <f>(E18/H18-F18/G18)</f>
        <v>#VALUE!</v>
      </c>
      <c r="K18" s="20" t="e" vm="14">
        <f>((1+J18*G18)^E18*(1-J18*H18)^F18)</f>
        <v>#VALUE!</v>
      </c>
      <c r="L18" s="20" t="e" vm="14">
        <f>((1+G18)^E18*(1-H18)^F18)</f>
        <v>#VALUE!</v>
      </c>
    </row>
    <row r="19" spans="1:12" ht="15.6" x14ac:dyDescent="0.3">
      <c r="A19" s="27"/>
      <c r="B19" s="25" t="e" cm="1" vm="13">
        <f t="array" ref="B19">_FV(A19,"Prix")</f>
        <v>#VALUE!</v>
      </c>
      <c r="C19" s="24"/>
      <c r="D19" s="8"/>
      <c r="E19" s="23"/>
      <c r="F19" s="15">
        <f>1-E19</f>
        <v>1</v>
      </c>
      <c r="G19" s="15" t="e" vm="14">
        <f>(C19/B19)-1</f>
        <v>#VALUE!</v>
      </c>
      <c r="H19" s="15" t="e" vm="14">
        <f>1-(D19/B19)</f>
        <v>#VALUE!</v>
      </c>
      <c r="I19" s="22"/>
      <c r="J19" s="21" t="e" vm="14">
        <f>(E19/H19-F19/G19)</f>
        <v>#VALUE!</v>
      </c>
      <c r="K19" s="20" t="e" vm="14">
        <f>((1+J19*G19)^E19*(1-J19*H19)^F19)</f>
        <v>#VALUE!</v>
      </c>
      <c r="L19" s="20" t="e" vm="14">
        <f>((1+G19)^E19*(1-H19)^F19)</f>
        <v>#VALUE!</v>
      </c>
    </row>
    <row r="20" spans="1:12" ht="15.6" x14ac:dyDescent="0.3">
      <c r="A20" s="27"/>
      <c r="B20" s="25" t="e" cm="1" vm="13">
        <f t="array" ref="B20">_FV(A20,"Prix")</f>
        <v>#VALUE!</v>
      </c>
      <c r="C20" s="24"/>
      <c r="D20" s="8"/>
      <c r="E20" s="23"/>
      <c r="F20" s="15">
        <f>1-E20</f>
        <v>1</v>
      </c>
      <c r="G20" s="15" t="e" vm="14">
        <f>(C20/B20)-1</f>
        <v>#VALUE!</v>
      </c>
      <c r="H20" s="15" t="e" vm="14">
        <f>1-(D20/B20)</f>
        <v>#VALUE!</v>
      </c>
      <c r="I20" s="22"/>
      <c r="J20" s="21" t="e" vm="14">
        <f>(E20/H20-F20/G20)</f>
        <v>#VALUE!</v>
      </c>
      <c r="K20" s="20" t="e" vm="14">
        <f>((1+J20*G20)^E20*(1-J20*H20)^F20)</f>
        <v>#VALUE!</v>
      </c>
      <c r="L20" s="20" t="e" vm="14">
        <f>((1+G20)^E20*(1-H20)^F20)</f>
        <v>#VALUE!</v>
      </c>
    </row>
    <row r="21" spans="1:12" ht="15.6" x14ac:dyDescent="0.3">
      <c r="A21" s="26"/>
      <c r="B21" s="25" t="e" cm="1" vm="13">
        <f t="array" ref="B21">_FV(A21,"Prix")</f>
        <v>#VALUE!</v>
      </c>
      <c r="C21" s="24"/>
      <c r="D21" s="8"/>
      <c r="E21" s="23"/>
      <c r="F21" s="15">
        <f>1-E21</f>
        <v>1</v>
      </c>
      <c r="G21" s="15" t="e" vm="14">
        <f>(C21/B21)-1</f>
        <v>#VALUE!</v>
      </c>
      <c r="H21" s="15" t="e" vm="14">
        <f>1-(D21/B21)</f>
        <v>#VALUE!</v>
      </c>
      <c r="I21" s="22"/>
      <c r="J21" s="21" t="e" vm="14">
        <f>(E21/H21-F21/G21)</f>
        <v>#VALUE!</v>
      </c>
      <c r="K21" s="20" t="e" vm="14">
        <f>((1+J21*G21)^E21*(1-J21*H21)^F21)</f>
        <v>#VALUE!</v>
      </c>
      <c r="L21" s="20" t="e" vm="14">
        <f>((1+G21)^E21*(1-H21)^F21)</f>
        <v>#VALUE!</v>
      </c>
    </row>
    <row r="22" spans="1:12" x14ac:dyDescent="0.25">
      <c r="I22" s="19"/>
      <c r="J22" s="19"/>
      <c r="K22" s="18"/>
      <c r="L22" s="11"/>
    </row>
    <row r="23" spans="1:12" ht="15.6" x14ac:dyDescent="0.3">
      <c r="A23" s="32" t="s">
        <v>34</v>
      </c>
      <c r="B23" s="7">
        <f>COUNT(B2:B22)</f>
        <v>12</v>
      </c>
      <c r="L23" s="11"/>
    </row>
    <row r="24" spans="1:12" ht="15.6" x14ac:dyDescent="0.3">
      <c r="A24" s="32" t="s">
        <v>35</v>
      </c>
      <c r="B24" s="8">
        <v>2</v>
      </c>
      <c r="L24" s="11"/>
    </row>
    <row r="25" spans="1:12" ht="15.6" x14ac:dyDescent="0.3">
      <c r="A25" s="32" t="s">
        <v>32</v>
      </c>
      <c r="B25" s="17"/>
      <c r="G25" s="13"/>
      <c r="L25" s="11"/>
    </row>
    <row r="26" spans="1:12" ht="15.6" x14ac:dyDescent="0.3">
      <c r="A26" s="32" t="s">
        <v>33</v>
      </c>
      <c r="B26" s="17"/>
      <c r="G26" s="13"/>
      <c r="L26" s="11"/>
    </row>
    <row r="27" spans="1:12" ht="15.6" x14ac:dyDescent="0.3">
      <c r="A27" s="32" t="s">
        <v>31</v>
      </c>
      <c r="B27" s="16">
        <v>10</v>
      </c>
      <c r="G27" s="13"/>
      <c r="L27" s="11"/>
    </row>
    <row r="28" spans="1:12" ht="18" x14ac:dyDescent="0.4">
      <c r="A28" s="32" t="s">
        <v>36</v>
      </c>
      <c r="B28" s="15"/>
      <c r="G28" s="13"/>
      <c r="L28" s="11"/>
    </row>
    <row r="29" spans="1:12" ht="15.6" x14ac:dyDescent="0.3">
      <c r="A29" s="32" t="s">
        <v>37</v>
      </c>
      <c r="B29" s="23">
        <v>0.7</v>
      </c>
      <c r="G29" s="13"/>
      <c r="L29" s="11"/>
    </row>
    <row r="30" spans="1:12" ht="15.6" x14ac:dyDescent="0.3">
      <c r="A30" s="32" t="s">
        <v>38</v>
      </c>
      <c r="B30" s="14">
        <v>0.1</v>
      </c>
      <c r="G30" s="13"/>
      <c r="L30" s="11"/>
    </row>
    <row r="31" spans="1:12" ht="15.6" x14ac:dyDescent="0.3">
      <c r="A31" s="32" t="s">
        <v>20</v>
      </c>
      <c r="B31" s="17">
        <f>SUM(I2:I21)</f>
        <v>0.69999999999997498</v>
      </c>
      <c r="H31" s="12"/>
      <c r="L31" s="11"/>
    </row>
    <row r="32" spans="1:12" x14ac:dyDescent="0.25">
      <c r="J32" s="10"/>
    </row>
    <row r="48" spans="1:2" x14ac:dyDescent="0.25">
      <c r="A48" s="9"/>
      <c r="B48" s="4" t="s">
        <v>19</v>
      </c>
    </row>
    <row r="49" spans="1:2" x14ac:dyDescent="0.25">
      <c r="A49" s="8"/>
      <c r="B49" s="4" t="s">
        <v>18</v>
      </c>
    </row>
    <row r="50" spans="1:2" x14ac:dyDescent="0.25">
      <c r="A50" s="7"/>
      <c r="B50" s="4" t="s">
        <v>17</v>
      </c>
    </row>
    <row r="51" spans="1:2" ht="15.6" x14ac:dyDescent="0.3">
      <c r="A51" s="6"/>
      <c r="B51" s="4" t="s">
        <v>16</v>
      </c>
    </row>
    <row r="52" spans="1:2" x14ac:dyDescent="0.25">
      <c r="A52" s="5"/>
      <c r="B52" s="4" t="s">
        <v>15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30</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2022-09-10T13:44:05Z</dcterms:modified>
  <cp:category/>
  <cp:contentStatus/>
</cp:coreProperties>
</file>