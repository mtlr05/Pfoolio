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A1C51208-6FA3-4779-B7B6-1B4C3C0D7EDB}" xr6:coauthVersionLast="47" xr6:coauthVersionMax="47" xr10:uidLastSave="{00000000-0000-0000-0000-000000000000}"/>
  <bookViews>
    <workbookView minimized="1" xWindow="2820" yWindow="2820" windowWidth="17280" windowHeight="8964" tabRatio="500" xr2:uid="{00000000-000D-0000-FFFF-FFFF00000000}"/>
  </bookViews>
  <sheets>
    <sheet name="Inputs" sheetId="3" r:id="rId1"/>
    <sheet name="Sheet1" sheetId="1" state="hidden" r:id="rId2"/>
    <sheet name="_xlwings.conf" sheetId="2" state="hidden" r:id="rId3"/>
  </sheets>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Inputs!$B$30</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Inputs!#REF!</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Inputs!$B$28</definedName>
    <definedName name="solver_rhs2" localSheetId="0" hidden="1">Inputs!$B$29</definedName>
    <definedName name="solver_rhs3" localSheetId="0" hidden="1">Inputs!$B$29</definedName>
    <definedName name="solver_rhs4" localSheetId="0" hidden="1">Inputs!$B$29</definedName>
    <definedName name="solver_rhs5" localSheetId="0" hidden="1">Inputs!$B$29</definedName>
    <definedName name="solver_rhs6" localSheetId="0" hidden="1">Inputs!$B$29</definedName>
    <definedName name="solver_rhs7" localSheetId="0" hidden="1">Inputs!$B$29</definedName>
    <definedName name="solver_rhs8" localSheetId="0" hidden="1">Inputs!$B$29</definedName>
    <definedName name="solver_rhs9" localSheetId="0" hidden="1">Inputs!$B$29</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3" l="1"/>
  <c r="M3" i="3" a="1"/>
  <c r="M3" i="3" s="1"/>
  <c r="M4" i="3" a="1"/>
  <c r="M4" i="3" s="1"/>
  <c r="M5" i="3" a="1"/>
  <c r="M5" i="3" s="1"/>
  <c r="M6" i="3" a="1"/>
  <c r="M6" i="3" s="1"/>
  <c r="M7" i="3" a="1"/>
  <c r="M7" i="3" s="1"/>
  <c r="M8" i="3" a="1"/>
  <c r="M8" i="3" s="1"/>
  <c r="M9" i="3" a="1"/>
  <c r="M9" i="3" s="1"/>
  <c r="M10" i="3" a="1"/>
  <c r="M10" i="3" s="1"/>
  <c r="M11" i="3" a="1"/>
  <c r="M11" i="3" s="1"/>
  <c r="M12" i="3" a="1"/>
  <c r="M12" i="3" s="1"/>
  <c r="M13" i="3" a="1"/>
  <c r="M13" i="3" s="1"/>
  <c r="M14" i="3" a="1"/>
  <c r="M14" i="3" s="1"/>
  <c r="M15" i="3" a="1"/>
  <c r="M15" i="3" s="1"/>
  <c r="M16" i="3" a="1"/>
  <c r="M16" i="3" s="1"/>
  <c r="M17" i="3" a="1"/>
  <c r="M17" i="3" s="1"/>
  <c r="M18" i="3" a="1"/>
  <c r="M18" i="3" s="1"/>
  <c r="M19" i="3" a="1"/>
  <c r="M19" i="3" s="1"/>
  <c r="M20" i="3" a="1"/>
  <c r="M20" i="3" s="1"/>
  <c r="M21" i="3" a="1"/>
  <c r="M21" i="3" s="1"/>
  <c r="B14" i="3" a="1"/>
  <c r="B14" i="3" s="1"/>
  <c r="B3" i="3" a="1"/>
  <c r="B3" i="3" s="1"/>
  <c r="B4" i="3" a="1"/>
  <c r="B4" i="3" s="1"/>
  <c r="B5" i="3" a="1"/>
  <c r="B5" i="3" s="1"/>
  <c r="C5" i="3" s="1"/>
  <c r="B6" i="3" a="1"/>
  <c r="B6" i="3" s="1"/>
  <c r="B7" i="3" a="1"/>
  <c r="B7" i="3" s="1"/>
  <c r="B8" i="3" a="1"/>
  <c r="B8" i="3" s="1"/>
  <c r="B9" i="3" a="1"/>
  <c r="B9" i="3" s="1"/>
  <c r="B10" i="3" a="1"/>
  <c r="B10" i="3" s="1"/>
  <c r="B11" i="3" a="1"/>
  <c r="B11" i="3" s="1"/>
  <c r="B12" i="3" a="1"/>
  <c r="B12" i="3" s="1"/>
  <c r="B13" i="3" a="1"/>
  <c r="B13" i="3" s="1"/>
  <c r="M2" i="3" a="1"/>
  <c r="M2" i="3" s="1"/>
  <c r="B2" i="3" l="1" a="1"/>
  <c r="B2" i="3" s="1"/>
  <c r="F2" i="3"/>
  <c r="F3" i="3"/>
  <c r="F4" i="3"/>
  <c r="F5" i="3"/>
  <c r="F6" i="3"/>
  <c r="F7" i="3"/>
  <c r="F8" i="3"/>
  <c r="F9" i="3"/>
  <c r="F10" i="3"/>
  <c r="H11" i="3"/>
  <c r="F11" i="3"/>
  <c r="F12" i="3"/>
  <c r="F13" i="3"/>
  <c r="F14" i="3"/>
  <c r="B15" i="3" a="1"/>
  <c r="B15" i="3" s="1"/>
  <c r="F15" i="3"/>
  <c r="B16" i="3" a="1"/>
  <c r="B16" i="3" s="1"/>
  <c r="F16" i="3"/>
  <c r="B17" i="3" a="1"/>
  <c r="B17" i="3" s="1"/>
  <c r="F17" i="3"/>
  <c r="B18" i="3" a="1"/>
  <c r="B18" i="3" s="1"/>
  <c r="F18" i="3"/>
  <c r="B19" i="3" a="1"/>
  <c r="B19" i="3" s="1"/>
  <c r="F19" i="3"/>
  <c r="B20" i="3" a="1"/>
  <c r="B20" i="3" s="1"/>
  <c r="F20" i="3"/>
  <c r="B21" i="3" a="1"/>
  <c r="B21" i="3" s="1"/>
  <c r="F21" i="3"/>
  <c r="B23" i="3" l="1"/>
  <c r="G11" i="3"/>
  <c r="L11" i="3" s="1"/>
  <c r="G16" i="3"/>
  <c r="H16" i="3"/>
  <c r="J16" i="3" s="1"/>
  <c r="K16" i="3" s="1"/>
  <c r="G8" i="3"/>
  <c r="H8" i="3"/>
  <c r="G15" i="3"/>
  <c r="H15" i="3"/>
  <c r="J15" i="3" s="1"/>
  <c r="K15" i="3" s="1"/>
  <c r="G7" i="3"/>
  <c r="H7" i="3"/>
  <c r="G5" i="3"/>
  <c r="H5" i="3"/>
  <c r="G14" i="3"/>
  <c r="H14" i="3"/>
  <c r="G6" i="3"/>
  <c r="H6" i="3"/>
  <c r="G21" i="3"/>
  <c r="L21" i="3" s="1"/>
  <c r="H21" i="3"/>
  <c r="G13" i="3"/>
  <c r="H13" i="3"/>
  <c r="G20" i="3"/>
  <c r="H20" i="3"/>
  <c r="J20" i="3" s="1"/>
  <c r="K20" i="3" s="1"/>
  <c r="G12" i="3"/>
  <c r="H12" i="3"/>
  <c r="G4" i="3"/>
  <c r="H4" i="3"/>
  <c r="G3" i="3"/>
  <c r="H3" i="3"/>
  <c r="G18" i="3"/>
  <c r="L18" i="3" s="1"/>
  <c r="H18" i="3"/>
  <c r="J18" i="3" s="1"/>
  <c r="K18" i="3" s="1"/>
  <c r="G19" i="3"/>
  <c r="H19" i="3"/>
  <c r="G10" i="3"/>
  <c r="H10" i="3"/>
  <c r="G9" i="3"/>
  <c r="H9" i="3"/>
  <c r="G2" i="3"/>
  <c r="H2" i="3"/>
  <c r="G17" i="3"/>
  <c r="H17" i="3"/>
  <c r="J17" i="3" s="1"/>
  <c r="K17" i="3" s="1"/>
  <c r="J14" i="3" l="1"/>
  <c r="K14" i="3" s="1"/>
  <c r="L16" i="3"/>
  <c r="J19" i="3"/>
  <c r="K19" i="3" s="1"/>
  <c r="J12" i="3"/>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futureMetadata>
  <cellMetadata count="1">
    <bk>
      <rc t="1" v="0"/>
    </bk>
  </cellMetadata>
  <valueMetadata count="11">
    <bk>
      <rc t="2" v="0"/>
    </bk>
    <bk>
      <rc t="2" v="1"/>
    </bk>
    <bk>
      <rc t="2" v="2"/>
    </bk>
    <bk>
      <rc t="2" v="3"/>
    </bk>
    <bk>
      <rc t="2" v="4"/>
    </bk>
    <bk>
      <rc t="2" v="5"/>
    </bk>
    <bk>
      <rc t="2" v="6"/>
    </bk>
    <bk>
      <rc t="2" v="7"/>
    </bk>
    <bk>
      <rc t="2" v="8"/>
    </bk>
    <bk>
      <rc t="2" v="9"/>
    </bk>
    <bk>
      <rc t="2" v="10"/>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<sst xmlns="http://schemas.openxmlformats.org/spreadsheetml/2006/main" count="39" uniqueCount="39">
  <si>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</si>
  <si>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</si>
  <si>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</si>
  <si>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</si>
  <si>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</si>
  <si>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</si>
  <si>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</si>
  <si>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</si>
  <si>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</si>
  <si>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</si>
  <si>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</si>
  <si>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</si>
  <si>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</si>
  <si>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</si>
  <si>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</si>
  <si>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</si>
  <si>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</si>
  <si>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</si>
  <si>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</si>
  <si>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</si>
  <si>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</si>
  <si>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</si>
  <si>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</si>
  <si>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</si>
  <si>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</si>
  <si>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</si>
  <si>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</si>
  <si>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</si>
  <si>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Current Price</t>
  </si>
  <si>
    <t>Objective Weighting factor, t</t>
  </si>
  <si>
    <t>Stocks</t>
  </si>
  <si>
    <t>Years to price target</t>
  </si>
  <si>
    <t>Max Leverage, Fmax</t>
  </si>
  <si>
    <t>Max postion size, fmax</t>
  </si>
  <si>
    <r>
      <t xml:space="preserve">= calculated using the </t>
    </r>
    <r>
      <rPr>
        <b/>
        <sz val="10"/>
        <color theme="1"/>
        <rFont val="Arial"/>
        <family val="2"/>
      </rPr>
      <t>Optimize</t>
    </r>
    <r>
      <rPr>
        <sz val="12"/>
        <color theme="1"/>
        <rFont val="Calibri"/>
        <family val="2"/>
        <scheme val="minor"/>
      </rPr>
      <t xml:space="preserve"> button</t>
    </r>
  </si>
  <si>
    <t>Return: Growth, E(g)</t>
  </si>
  <si>
    <t>Risk: Semi-deviation below 20% return</t>
  </si>
  <si>
    <t xml:space="preserve">
Upside</t>
  </si>
  <si>
    <t xml:space="preserve">
Downside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</si>
</sst>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6" x14ac:knownFonts="1">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36">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xf numFmtId="0" fontId="3" fillId="4" borderId="1" xfId="6" applyFont="1" applyFill="1" applyBorder="1"/>
    <xf numFmtId="9" fontId="3" fillId="3" borderId="1" xfId="6" applyNumberFormat="1" applyFont="1" applyFill="1" applyBorder="1"/>
    <xf numFmtId="164" fontId="3" fillId="3" borderId="1" xfId="6" applyNumberFormat="1" applyFont="1" applyFill="1" applyBorder="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22860</xdr:rowOff>
        </xdr:from>
        <xdr:to>
          <xdr:col>11</xdr:col>
          <xdr:colOff>1066800</xdr:colOff>
          <xdr:row>29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5</xdr:col>
      <xdr:colOff>97969</xdr:colOff>
      <xdr:row>27</xdr:row>
      <xdr:rowOff>1</xdr:rowOff>
    </xdr:from>
    <xdr:to>
      <xdr:col>7</xdr:col>
      <xdr:colOff>141513</xdr:colOff>
      <xdr:row>32</xdr:row>
      <xdr:rowOff>69273</xdr:rowOff>
    </xdr:to>
    <xdr:sp macro="" textlink="">
      <xdr:nvSpPr>
        <xdr:cNvPr id="6" name="Speech Bubble: Rectangle 5">
          <a:extLst>
            <a:ext uri="{FF2B5EF4-FFF2-40B4-BE49-F238E27FC236}">
              <a16:creationId xmlns:a16="http://schemas.microsoft.com/office/drawing/2014/main" id="{00000000-0008-0000-0000-000006000000}"/>
            </a:ext>
          </a:extLst>
        </xdr:cNvPr>
        <xdr:cNvSpPr/>
      </xdr:nvSpPr>
      <xdr:spPr>
        <a:xfrm>
          <a:off x="7579424" y="6622474"/>
          <a:ext cx="2052453" cy="983672"/>
        </a:xfrm>
        <a:prstGeom prst="wedgeRectCallout">
          <a:avLst>
            <a:gd name="adj1" fmla="val -200446"/>
            <a:gd name="adj2" fmla="val -53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risk</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9</xdr:col>
      <xdr:colOff>1151905</xdr:colOff>
      <xdr:row>30</xdr:row>
      <xdr:rowOff>130630</xdr:rowOff>
    </xdr:from>
    <xdr:to>
      <xdr:col>11</xdr:col>
      <xdr:colOff>987631</xdr:colOff>
      <xdr:row>36</xdr:row>
      <xdr:rowOff>138546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a:off x="12207832" y="7334994"/>
          <a:ext cx="2038599" cy="1005443"/>
        </a:xfrm>
        <a:prstGeom prst="wedgeRectCallout">
          <a:avLst>
            <a:gd name="adj1" fmla="val -96590"/>
            <a:gd name="adj2" fmla="val -600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32</xdr:row>
      <xdr:rowOff>21773</xdr:rowOff>
    </xdr:from>
    <xdr:to>
      <xdr:col>4</xdr:col>
      <xdr:colOff>1251855</xdr:colOff>
      <xdr:row>36</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2</xdr:col>
      <xdr:colOff>432458</xdr:colOff>
      <xdr:row>0</xdr:row>
      <xdr:rowOff>194953</xdr:rowOff>
    </xdr:from>
    <xdr:to>
      <xdr:col>4</xdr:col>
      <xdr:colOff>209799</xdr:colOff>
      <xdr:row>0</xdr:row>
      <xdr:rowOff>880753</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4768931" y="194953"/>
          <a:ext cx="164770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editAs="oneCell">
    <xdr:from>
      <xdr:col>3</xdr:col>
      <xdr:colOff>587829</xdr:colOff>
      <xdr:row>36</xdr:row>
      <xdr:rowOff>65313</xdr:rowOff>
    </xdr:from>
    <xdr:to>
      <xdr:col>9</xdr:col>
      <xdr:colOff>122367</xdr:colOff>
      <xdr:row>61</xdr:row>
      <xdr:rowOff>14158</xdr:rowOff>
    </xdr:to>
    <xdr:pic>
      <xdr:nvPicPr>
        <xdr:cNvPr id="21" name="Bubble">
          <a:extLst>
            <a:ext uri="{FF2B5EF4-FFF2-40B4-BE49-F238E27FC236}">
              <a16:creationId xmlns:a16="http://schemas.microsoft.com/office/drawing/2014/main" id="{00000000-0008-0000-0000-000015000000}"/>
            </a:ext>
          </a:extLst>
        </xdr:cNvPr>
        <xdr:cNvPicPr>
          <a:picLocks/>
        </xdr:cNvPicPr>
      </xdr:nvPicPr>
      <xdr:blipFill>
        <a:blip xmlns:r="http://schemas.openxmlformats.org/officeDocument/2006/relationships" r:embed="rId1"/>
        <a:stretch>
          <a:fillRect/>
        </a:stretch>
      </xdr:blipFill>
      <xdr:spPr>
        <a:xfrm>
          <a:off x="5769429" y="8393973"/>
          <a:ext cx="5424798" cy="4139845"/>
        </a:xfrm>
        <a:prstGeom prst="rect">
          <a:avLst/>
        </a:prstGeom>
      </xdr:spPr>
    </xdr:pic>
    <xdr:clientData/>
  </xdr:twoCellAnchor>
  <xdr:twoCellAnchor editAs="oneCell">
    <xdr:from>
      <xdr:col>0</xdr:col>
      <xdr:colOff>87085</xdr:colOff>
      <xdr:row>36</xdr:row>
      <xdr:rowOff>65315</xdr:rowOff>
    </xdr:from>
    <xdr:to>
      <xdr:col>3</xdr:col>
      <xdr:colOff>510768</xdr:colOff>
      <xdr:row>60</xdr:row>
      <xdr:rowOff>128678</xdr:rowOff>
    </xdr:to>
    <xdr:pic>
      <xdr:nvPicPr>
        <xdr:cNvPr id="23" name="Frontier">
          <a:extLst>
            <a:ext uri="{FF2B5EF4-FFF2-40B4-BE49-F238E27FC236}">
              <a16:creationId xmlns:a16="http://schemas.microsoft.com/office/drawing/2014/main" id="{00000000-0008-0000-0000-000017000000}"/>
            </a:ext>
          </a:extLst>
        </xdr:cNvPr>
        <xdr:cNvPicPr>
          <a:picLocks/>
        </xdr:cNvPicPr>
      </xdr:nvPicPr>
      <xdr:blipFill>
        <a:blip xmlns:r="http://schemas.openxmlformats.org/officeDocument/2006/relationships" r:embed="rId2"/>
        <a:stretch>
          <a:fillRect/>
        </a:stretch>
      </xdr:blipFill>
      <xdr:spPr>
        <a:xfrm>
          <a:off x="87085" y="8393975"/>
          <a:ext cx="5605283" cy="4086723"/>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7">
  <rv s="0">
    <v>https://www.bing.com/financeapi/forcetrigger?t=a23yk2&amp;q=XNAS%3aFRG&amp;form=skydnc</v>
    <v>Learn more on Bing</v>
  </rv>
  <rv s="1">
    <v>fr-FR</v>
    <v>a23yk2</v>
    <v>268435456</v>
    <v>1</v>
    <v>Avec Refinitiv</v>
    <v>0</v>
    <v>1</v>
    <v>Franchise Group (XNAS:FRG)</v>
    <v>3</v>
    <v>4</v>
    <v>Finance</v>
    <v>5</v>
    <v>XNAS</v>
    <v>40361910</v>
    <v>2010</v>
    <v>33.24</v>
    <v>29.66</v>
    <v>1.5515000000000001</v>
    <v>1345197881</v>
    <v>Nasdaq Stock Market</v>
    <v>33.909999999999997</v>
    <v>FRG</v>
    <v>44818.595399918748</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34.945</v>
    <v>55.1</v>
    <v>Specialty Retailers</v>
    <v>0</v>
    <v>-1.7151E-2</v>
    <v>-0.58160000000000001</v>
    <v>Franchise Group</v>
    <v>Franchise Group</v>
    <v>33.92</v>
    <v>5.8773</v>
    <v>33.328400000000002</v>
    <v>109 INNOVATION COURT, SUITE J, DELAWARE, OH, 43015 US</v>
    <v>Bourse</v>
    <v>Franchise Group (XNAS:FRG)</v>
    <v>44390</v>
    <v>450442</v>
  </rv>
  <rv s="2">
    <v>1</v>
  </rv>
  <rv s="0">
    <v>https://www.bing.com/financeapi/forcetrigger?t=a1nvvh&amp;q=XNYS%3aATKR&amp;form=skydnc</v>
    <v>Learn more on Bing</v>
  </rv>
  <rv s="1">
    <v>fr-FR</v>
    <v>a1nvvh</v>
    <v>268435456</v>
    <v>1</v>
    <v>Avec Refinitiv</v>
    <v>0</v>
    <v>1</v>
    <v>Atkore (XNYS:ATKR)</v>
    <v>3</v>
    <v>4</v>
    <v>Finance</v>
    <v>6</v>
    <v>XNYS</v>
    <v>41320870</v>
    <v>2010</v>
    <v>79.55</v>
    <v>79.55</v>
    <v>2.2707000000000002</v>
    <v>3296558348</v>
    <v>New York Stock Exchange</v>
    <v>82.1</v>
    <v>ATKR</v>
    <v>44818.605610450781</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82.653199999999998</v>
    <v>123.53</v>
    <v>Machinery, Equipment &amp; Components</v>
    <v>3</v>
    <v>-2.8264000000000001E-2</v>
    <v>-2.3205</v>
    <v>Atkore</v>
    <v>Atkore</v>
    <v>82.55</v>
    <v>4.1943999999999999</v>
    <v>79.779499999999999</v>
    <v>16100 SOUTH LATHROP AVENUE, HARVEY, IL, 60426 US</v>
    <v>Bourse</v>
    <v>Atkore (XNYS:ATKR)</v>
    <v>114586</v>
    <v>354323</v>
  </rv>
  <rv s="2">
    <v>4</v>
  </rv>
  <rv s="0">
    <v>https://www.bing.com/financeapi/forcetrigger?t=a1s5jc&amp;q=XNYS%3aVTOL&amp;form=skydnc</v>
    <v>Learn more on Bing</v>
  </rv>
  <rv s="1">
    <v>fr-FR</v>
    <v>a1s5jc</v>
    <v>268435456</v>
    <v>1</v>
    <v>Avec Refinitiv</v>
    <v>0</v>
    <v>1</v>
    <v>Bristow Group (XNYS:VTOL)</v>
    <v>3</v>
    <v>4</v>
    <v>Finance</v>
    <v>5</v>
    <v>XNYS</v>
    <v>27936160</v>
    <v>1999</v>
    <v>27.32</v>
    <v>21.61</v>
    <v>1.3306</v>
    <v>790872689</v>
    <v>New York Stock Exchange</v>
    <v>27.42</v>
    <v>VTOL</v>
    <v>44818.595389490627</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28.43</v>
    <v>40.1</v>
    <v>Passenger Transportation Services</v>
    <v>6</v>
    <v>3.2458000000000001E-2</v>
    <v>0.89</v>
    <v>Bristow Group</v>
    <v>Bristow Group</v>
    <v>27.32</v>
    <v>343.09309999999999</v>
    <v>28.31</v>
    <v>3151 Briarpark Drive, Suite 700, HOUSTON, TX, 77042 US</v>
    <v>Bourse</v>
    <v>Bristow Group (XNYS:VTOL)</v>
    <v>5805</v>
    <v>66972</v>
  </rv>
  <rv s="2">
    <v>7</v>
  </rv>
  <rv s="0">
    <v>https://www.bing.com/financeapi/forcetrigger?t=a1wwsm&amp;q=XNAS%3aLILAK&amp;form=skydnc</v>
    <v>Learn more on Bing</v>
  </rv>
  <rv s="3">
    <v>fr-FR</v>
    <v>a1wwsm</v>
    <v>268435456</v>
    <v>1</v>
    <v>Avec Refinitiv</v>
    <v>7</v>
    <v>8</v>
    <v>Liberty Latin (XNAS:LILAK)</v>
    <v>3</v>
    <v>9</v>
    <v>Finance</v>
    <v>6</v>
    <v>XNAS</v>
    <v>221477400</v>
    <v>2017</v>
    <v>6.7549999999999999</v>
    <v>6.34</v>
    <v>1.2095</v>
    <v>1522400000</v>
    <v>Nasdaq Stock Market</v>
    <v>6.88</v>
    <v>LILAK</v>
    <v>44818.605784039064</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6.94</v>
    <v>13.88</v>
    <v>Telecommunications Services</v>
    <v>9</v>
    <v>-1.8169000000000001E-2</v>
    <v>-0.125</v>
    <v>Liberty Latin</v>
    <v>Liberty Latin</v>
    <v>6.86</v>
    <v>6.7549999999999999</v>
    <v>1550 Wewatta Street, Suite 710, DENVER, CO, 80202 US</v>
    <v>Bourse</v>
    <v>Liberty Latin (XNAS:LILAK)</v>
    <v>233705</v>
    <v>1029362</v>
  </rv>
  <rv s="2">
    <v>10</v>
  </rv>
  <rv s="0">
    <v>https://www.bing.com/financeapi/forcetrigger?t=a1r32w&amp;q=XNAS%3aWBD&amp;form=skydnc</v>
    <v>Learn more on Bing</v>
  </rv>
  <rv s="1">
    <v>fr-FR</v>
    <v>a1r32w</v>
    <v>268435456</v>
    <v>1</v>
    <v>Avec Refinitiv</v>
    <v>0</v>
    <v>1</v>
    <v>WARNER BROS. DISCOVERY, INC. (XNAS:WBD)</v>
    <v>3</v>
    <v>4</v>
    <v>Finance</v>
    <v>6</v>
    <v>XNAS</v>
    <v>2427593000</v>
    <v>2008</v>
    <v>12.32</v>
    <v>12.23</v>
    <v>1.3749</v>
    <v>30041463375</v>
    <v>Nasdaq Stock Market</v>
    <v>12.95</v>
    <v>WBD</v>
    <v>44818.605904640623</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12.98</v>
    <v>31.55</v>
    <v>Media &amp; Publishing</v>
    <v>12</v>
    <v>-4.4401999999999997E-2</v>
    <v>-0.57499999999999996</v>
    <v>WARNER BROS. DISCOVERY, INC.</v>
    <v>WARNER BROS. DISCOVERY, INC.</v>
    <v>12.95</v>
    <v>7.2262000000000004</v>
    <v>12.375</v>
    <v>230 PARK AVENUE SOUTH, NEW YORK, NY, 10003 US</v>
    <v>Bourse</v>
    <v>WARNER BROS. DISCOVERY, INC. (XNAS:WBD)</v>
    <v>5012393</v>
    <v>25541577</v>
  </rv>
  <rv s="2">
    <v>13</v>
  </rv>
  <rv s="0">
    <v>https://www.bing.com/financeapi/forcetrigger?t=a1yyec&amp;q=XNAS%3aNXST&amp;form=skydnc</v>
    <v>Learn more on Bing</v>
  </rv>
  <rv s="1">
    <v>fr-FR</v>
    <v>a1yyec</v>
    <v>268435456</v>
    <v>1</v>
    <v>Avec Refinitiv</v>
    <v>0</v>
    <v>1</v>
    <v>Nexstar Media (XNAS:NXST)</v>
    <v>3</v>
    <v>4</v>
    <v>Finance</v>
    <v>6</v>
    <v>XNAS</v>
    <v>38793920</v>
    <v>2001</v>
    <v>187.28</v>
    <v>139.68799999999999</v>
    <v>1.4563999999999999</v>
    <v>7310714224</v>
    <v>Nasdaq Stock Market</v>
    <v>193.2</v>
    <v>NXST</v>
    <v>44818.605855439062</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194.57</v>
    <v>204.62</v>
    <v>Media &amp; Publishing</v>
    <v>15</v>
    <v>-2.4586E-2</v>
    <v>-4.75</v>
    <v>Nexstar Media</v>
    <v>Nexstar Media</v>
    <v>194.32</v>
    <v>8.9276999999999997</v>
    <v>188.45</v>
    <v>545 E John Carpenter Fwy Ste 700, IRVING, TX, 75062-3932 US</v>
    <v>Bourse</v>
    <v>Nexstar Media (XNAS:NXST)</v>
    <v>32539</v>
    <v>262923</v>
  </rv>
  <rv s="2">
    <v>16</v>
  </rv>
  <rv s="0">
    <v>https://www.bing.com/financeapi/forcetrigger?t=a1vhzr&amp;q=XNAS%3aHROW&amp;form=skydnc</v>
    <v>Learn more on Bing</v>
  </rv>
  <rv s="1">
    <v>fr-FR</v>
    <v>a1vhzr</v>
    <v>268435456</v>
    <v>1</v>
    <v>Avec Refinitiv</v>
    <v>0</v>
    <v>1</v>
    <v>HARROW HEALTH, INC. (XNAS:HROW)</v>
    <v>3</v>
    <v>4</v>
    <v>Finance</v>
    <v>6</v>
    <v>XNAS</v>
    <v>27069980</v>
    <v>2006</v>
    <v>9.1850000000000005</v>
    <v>5.4</v>
    <v>0.65549999999999997</v>
    <v>252156863</v>
    <v>Nasdaq Stock Market</v>
    <v>9.2799999999999994</v>
    <v>HROW</v>
    <v>44818.605806226566</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9.4224999999999994</v>
    <v>12.99</v>
    <v>Pharmaceuticals</v>
    <v>18</v>
    <v>3.7719999999999997E-3</v>
    <v>3.5000000000000003E-2</v>
    <v>HARROW HEALTH, INC.</v>
    <v>HARROW HEALTH, INC.</v>
    <v>9.27</v>
    <v>41.807299999999998</v>
    <v>9.3149999999999995</v>
    <v>102 WOODMONT BLVD, SUITE 610, NASHVILLE, TN, 37215 US</v>
    <v>Bourse</v>
    <v>HARROW HEALTH, INC. (XNAS:HROW)</v>
    <v>6399</v>
    <v>89648</v>
  </rv>
  <rv s="2">
    <v>19</v>
  </rv>
  <rv s="0">
    <v>https://www.bing.com/financeapi/forcetrigger?t=bvdwyc&amp;q=OTCM%3aPHIG&amp;form=skydnc</v>
    <v>Learn more on Bing</v>
  </rv>
  <rv s="4">
    <v>fr-FR</v>
    <v>bvdwyc</v>
    <v>268435456</v>
    <v>1</v>
    <v>Avec Refinitiv</v>
    <v>10</v>
    <v>11</v>
    <v>PHI Group (OTCM:PHIG)</v>
    <v>3</v>
    <v>12</v>
    <v>Finance</v>
    <v>13</v>
    <v>OTCM</v>
    <v>12.75</v>
    <v>5</v>
    <v>OTC Markets</v>
    <v>12.75</v>
    <v>PHIG</v>
    <v>44811.731867453127</v>
    <v>USD</v>
    <v>OTCM</v>
    <v>12.75</v>
    <v>16.5</v>
    <v>21</v>
    <v>0</v>
    <v>0</v>
    <v>PHI Group</v>
    <v>PHI Group</v>
    <v>12.75</v>
    <v>12.75</v>
    <v>2001 Se Evangeline Thruway, LAFAYETTE, LA, 70508 US</v>
    <v>Bourse</v>
    <v>PHI Group (OTCM:PHIG)</v>
    <v>1400</v>
  </rv>
  <rv s="2">
    <v>22</v>
  </rv>
  <rv s="5">
    <v>12</v>
    <v>Prix</v>
    <v>0</v>
  </rv>
  <rv s="6">
    <v>12</v>
    <v>1</v>
  </rv>
  <rv s="5">
    <v>12</v>
    <v>Nom</v>
    <v>0</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Change" t="s"/>
    <k n="Clôture précédente"/>
    <k n="Code mnémonique" t="s"/>
    <k n="Dernière heure d'échange"/>
    <k n="Devise" t="s"/>
    <k n="ExchangeID" t="s"/>
    <k n="Haut"/>
    <k n="Haut depuis 52 semaines"/>
    <k n="LearnMoreOnLink" t="r"/>
    <k n="Modification (%)"/>
    <k n="Modifier"/>
    <k n="Nom" t="s"/>
    <k n="Nom officiel" t="s"/>
    <k n="Ouvrir"/>
    <k n="Prix"/>
    <k n="Sièges sociaux" t="s"/>
    <k n="Type d'instrument" t="s"/>
    <k n="UniqueName" t="s"/>
    <k n="Volume"/>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Sièges sociaux</v>
      <v t="s">Type d'instrument</v>
      <v t="s">_Flags</v>
      <v t="s">UniqueName</v>
      <v t="s">_DisplayString</v>
      <v t="s">LearnMoreOnLink</v>
      <v t="s">ExchangeID</v>
      <v t="s">%ProviderInfo</v>
    </a>
  </spbArrays>
  <spbData count="14">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Source: Nasdaq</v>
      <v xml:space="preserve">depuis la clôture précédente </v>
      <v>GMT</v>
    </spb>
    <spb s="5">
      <v>En temps réel  Nasdaq Dernière vente</v>
      <v xml:space="preserve">depuis la clôture précédente </v>
      <v>Source: Nasdaq Dernière vente</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8">
      <v>Low</v>
      <v>Name</v>
      <v>High</v>
      <v>Price</v>
      <v>Exchange</v>
      <v>Currency</v>
      <v>Open</v>
      <v>Volume</v>
      <v>Change</v>
      <v>ExchangeID</v>
      <v>UniqueName</v>
      <v>Official name</v>
      <v>%ProviderInfo</v>
      <v>Headquarters</v>
      <v>Ticker symbol</v>
      <v>LearnMoreOnLink</v>
      <v>Change (%)</v>
      <v>Instrument type</v>
      <v>Previous close</v>
      <v>Exchange abbreviation</v>
      <v>52 week low</v>
      <v>52 week high</v>
      <v>Last trade time</v>
    </spb>
    <spb s="1">
      <v>2</v>
      <v>Name</v>
      <v>LearnMoreOnLink</v>
    </spb>
    <spb s="9">
      <v>1</v>
      <v>2</v>
      <v>1</v>
      <v>1</v>
      <v>1</v>
      <v>4</v>
      <v>1</v>
      <v>5</v>
      <v>6</v>
      <v>1</v>
      <v>1</v>
      <v>1</v>
      <v>9</v>
    </spb>
    <spb s="10">
      <v>Différé de 15 minutes</v>
      <v xml:space="preserve">depuis la clôture précédente </v>
      <v xml:space="preserve">depuis la clôture précédente </v>
      <v>GMT</v>
    </spb>
  </spbData>
</supportingPropertyBags>
</file>

<file path=xl/richData/rdsupportingpropertybagstructure.xml><?xml version="1.0" encoding="utf-8"?>
<spbStructures xmlns="http://schemas.microsoft.com/office/spreadsheetml/2017/richdata2" count="11">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Haut" t="s"/>
    <k n="Prix" t="s"/>
    <k n="Change" t="s"/>
    <k n="Devise" t="s"/>
    <k n="Ouvrir" t="s"/>
    <k n="Volume" t="s"/>
    <k n="Modifier" t="s"/>
    <k n="ExchangeID" t="s"/>
    <k n="UniqueName" t="s"/>
    <k n="Nom officiel" t="s"/>
    <k n="%ProviderInfo" t="s"/>
    <k n="Sièges sociaux" t="s"/>
    <k n="Code mnémonique" t="s"/>
    <k n="LearnMoreOnLink" t="s"/>
    <k n="Modification (%)" t="s"/>
    <k n="Type d'instrument" t="s"/>
    <k n="Clôture précédente" t="s"/>
    <k n="Abréviation de change" t="s"/>
    <k n="Bas depuis 52 semaines" t="s"/>
    <k n="Haut depuis 52 semaines" t="s"/>
    <k n="Dernière heure d'échange" t="s"/>
  </s>
  <s>
    <k n="Bas" t="i"/>
    <k n="Nom" t="i"/>
    <k n="Haut" t="i"/>
    <k n="Prix" t="i"/>
    <k n="Ouvrir" t="i"/>
    <k n="Volume" t="i"/>
    <k n="Modifier" t="i"/>
    <k n="Modification (%)" t="i"/>
    <k n="`%EntityServiceId" t="i"/>
    <k n="Clôture précédente" t="i"/>
    <k n="Bas depuis 52 semaines" t="i"/>
    <k n="Haut depuis 52 semaines"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P31"/>
  <sheetViews>
    <sheetView tabSelected="1" zoomScale="70" zoomScaleNormal="70" workbookViewId="0">
      <selection activeCell="C5" sqref="C5"/>
    </sheetView>
  </sheetViews>
  <sheetFormatPr defaultRowHeight="13.2" x14ac:dyDescent="0.25"/>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6.5" style="3" bestFit="1" customWidth="1"/>
    <col min="11" max="11" width="12.3984375" style="3" customWidth="1"/>
    <col min="12" max="12" width="14.69921875" style="3" customWidth="1"/>
    <col min="13" max="13" width="6.5" style="3" hidden="1" customWidth="1"/>
    <col min="14" max="16384" width="8.796875" style="3"/>
  </cols>
  <sheetData>
    <row r="1" spans="1:16" s="29" customFormat="1" ht="126.6" customHeight="1" x14ac:dyDescent="0.3">
      <c r="B1" s="29" t="s">
        <v>28</v>
      </c>
      <c r="C1" s="31" t="s">
        <v>37</v>
      </c>
      <c r="D1" s="31" t="s">
        <v>38</v>
      </c>
      <c r="E1" s="31" t="s">
        <v>27</v>
      </c>
      <c r="F1" s="31" t="s">
        <v>26</v>
      </c>
      <c r="G1" s="31" t="s">
        <v>25</v>
      </c>
      <c r="H1" s="31" t="s">
        <v>24</v>
      </c>
      <c r="I1" s="30" t="s">
        <v>23</v>
      </c>
      <c r="J1" s="31" t="s">
        <v>22</v>
      </c>
      <c r="K1" s="30" t="s">
        <v>21</v>
      </c>
      <c r="L1" s="30" t="s">
        <v>20</v>
      </c>
    </row>
    <row r="2" spans="1:16" ht="15.6" x14ac:dyDescent="0.3">
      <c r="A2" s="28" t="e" vm="1">
        <v>#VALUE!</v>
      </c>
      <c r="B2" s="25" cm="1">
        <f t="array" ref="B2">_FV(A2,"Prix")</f>
        <v>33.328400000000002</v>
      </c>
      <c r="C2" s="16">
        <v>150</v>
      </c>
      <c r="D2" s="16">
        <v>30</v>
      </c>
      <c r="E2" s="23">
        <v>0.65</v>
      </c>
      <c r="F2" s="15">
        <f t="shared" ref="F2:F21" si="0">1-E2</f>
        <v>0.35</v>
      </c>
      <c r="G2" s="15">
        <f t="shared" ref="G2:G21" si="1">(C2/B2)-1</f>
        <v>3.5006660985825899</v>
      </c>
      <c r="H2" s="15">
        <f t="shared" ref="H2:H21" si="2">1-(D2/B2)</f>
        <v>9.9866780283482059E-2</v>
      </c>
      <c r="I2" s="22">
        <v>0.19999621262361775</v>
      </c>
      <c r="J2" s="21">
        <f t="shared" ref="J2:J21" si="3">(E2/H2-F2/G2)</f>
        <v>6.4086898605994111</v>
      </c>
      <c r="K2" s="20">
        <f t="shared" ref="K2:K21" si="4">((1+J2*G2)^E2*(1-J2*H2)^F2)</f>
        <v>5.4338526307886248</v>
      </c>
      <c r="L2" s="20">
        <f t="shared" ref="L2:L21" si="5">((1+G2)^E2*(1-H2)^F2)</f>
        <v>2.5623431642014904</v>
      </c>
      <c r="M2" s="3" t="str" cm="1">
        <f t="array" ref="M2">_FV(A2,"Nom")</f>
        <v>Franchise Group</v>
      </c>
      <c r="O2" s="9"/>
      <c r="P2" s="4" t="s">
        <v>18</v>
      </c>
    </row>
    <row r="3" spans="1:16" ht="15.6" x14ac:dyDescent="0.3">
      <c r="A3" s="27" t="e" vm="2">
        <v>#VALUE!</v>
      </c>
      <c r="B3" s="25" cm="1">
        <f t="array" ref="B3">_FV(A3,"Prix")</f>
        <v>79.779499999999999</v>
      </c>
      <c r="C3" s="16">
        <f>82*2.5</f>
        <v>205</v>
      </c>
      <c r="D3" s="16">
        <v>85</v>
      </c>
      <c r="E3" s="23">
        <v>0.7</v>
      </c>
      <c r="F3" s="15">
        <f t="shared" si="0"/>
        <v>0.30000000000000004</v>
      </c>
      <c r="G3" s="15">
        <f t="shared" si="1"/>
        <v>1.5695824115217567</v>
      </c>
      <c r="H3" s="15">
        <f t="shared" si="2"/>
        <v>-6.5436609655362687E-2</v>
      </c>
      <c r="I3" s="22">
        <v>0.12527936318106425</v>
      </c>
      <c r="J3" s="21">
        <f t="shared" si="3"/>
        <v>-10.888509370552601</v>
      </c>
      <c r="K3" s="20" t="e">
        <f t="shared" si="4"/>
        <v>#NUM!</v>
      </c>
      <c r="L3" s="20">
        <f t="shared" si="5"/>
        <v>1.9731589435492218</v>
      </c>
      <c r="M3" s="3" t="str" cm="1">
        <f t="array" ref="M3">_FV(A3,"Nom")</f>
        <v>Atkore</v>
      </c>
      <c r="O3" s="8"/>
      <c r="P3" s="4" t="s">
        <v>17</v>
      </c>
    </row>
    <row r="4" spans="1:16" ht="15.6" x14ac:dyDescent="0.3">
      <c r="A4" s="27" t="e" vm="3">
        <v>#VALUE!</v>
      </c>
      <c r="B4" s="25" cm="1">
        <f t="array" ref="B4">_FV(A4,"Prix")</f>
        <v>28.31</v>
      </c>
      <c r="C4" s="16">
        <v>77</v>
      </c>
      <c r="D4" s="16">
        <v>25</v>
      </c>
      <c r="E4" s="23">
        <v>0.65</v>
      </c>
      <c r="F4" s="15">
        <f t="shared" si="0"/>
        <v>0.35</v>
      </c>
      <c r="G4" s="15">
        <f t="shared" si="1"/>
        <v>1.7198869657364888</v>
      </c>
      <c r="H4" s="15">
        <f t="shared" si="2"/>
        <v>0.1169198163193218</v>
      </c>
      <c r="I4" s="22">
        <v>7.3001503248747851E-2</v>
      </c>
      <c r="J4" s="21">
        <f t="shared" si="3"/>
        <v>5.3558638131740413</v>
      </c>
      <c r="K4" s="20">
        <f t="shared" si="4"/>
        <v>3.2086971159766242</v>
      </c>
      <c r="L4" s="20">
        <f t="shared" si="5"/>
        <v>1.8346706145470537</v>
      </c>
      <c r="M4" s="3" t="str" cm="1">
        <f t="array" ref="M4">_FV(A4,"Nom")</f>
        <v>Bristow Group</v>
      </c>
      <c r="O4" s="7"/>
      <c r="P4" s="4" t="s">
        <v>16</v>
      </c>
    </row>
    <row r="5" spans="1:16" ht="15.6" x14ac:dyDescent="0.3">
      <c r="A5" s="27" t="e" vm="4">
        <v>#VALUE!</v>
      </c>
      <c r="B5" s="25" cm="1">
        <f t="array" ref="B5">_FV(A5,"Prix")</f>
        <v>6.7549999999999999</v>
      </c>
      <c r="C5" s="16">
        <f>B5*4.5</f>
        <v>30.397500000000001</v>
      </c>
      <c r="D5" s="16">
        <v>6</v>
      </c>
      <c r="E5" s="23">
        <v>0.65</v>
      </c>
      <c r="F5" s="15">
        <f t="shared" si="0"/>
        <v>0.35</v>
      </c>
      <c r="G5" s="15">
        <f t="shared" si="1"/>
        <v>3.5</v>
      </c>
      <c r="H5" s="15">
        <f t="shared" si="2"/>
        <v>0.11176905995558839</v>
      </c>
      <c r="I5" s="22">
        <v>0.19999863679780178</v>
      </c>
      <c r="J5" s="21">
        <f t="shared" si="3"/>
        <v>5.7155629139072888</v>
      </c>
      <c r="K5" s="20">
        <f t="shared" si="4"/>
        <v>5.0664599770956036</v>
      </c>
      <c r="L5" s="20">
        <f t="shared" si="5"/>
        <v>2.5501880005028976</v>
      </c>
      <c r="M5" s="3" t="str" cm="1">
        <f t="array" ref="M5">_FV(A5,"Nom")</f>
        <v>Liberty Latin</v>
      </c>
      <c r="O5" s="6"/>
      <c r="P5" s="4" t="s">
        <v>34</v>
      </c>
    </row>
    <row r="6" spans="1:16" ht="15.6" x14ac:dyDescent="0.3">
      <c r="A6" s="27" t="e" vm="5">
        <v>#VALUE!</v>
      </c>
      <c r="B6" s="25" cm="1">
        <f t="array" ref="B6">_FV(A6,"Prix")</f>
        <v>12.375</v>
      </c>
      <c r="C6" s="16">
        <v>50</v>
      </c>
      <c r="D6" s="16">
        <v>8</v>
      </c>
      <c r="E6" s="23">
        <v>0.6</v>
      </c>
      <c r="F6" s="15">
        <f t="shared" si="0"/>
        <v>0.4</v>
      </c>
      <c r="G6" s="15">
        <f t="shared" si="1"/>
        <v>3.0404040404040407</v>
      </c>
      <c r="H6" s="15">
        <f t="shared" si="2"/>
        <v>0.35353535353535348</v>
      </c>
      <c r="I6" s="22">
        <v>6.6917733776903465E-2</v>
      </c>
      <c r="J6" s="21">
        <f t="shared" si="3"/>
        <v>1.5655813953488373</v>
      </c>
      <c r="K6" s="20">
        <f t="shared" si="4"/>
        <v>2.0710309984366506</v>
      </c>
      <c r="L6" s="20">
        <f t="shared" si="5"/>
        <v>1.9412112064346365</v>
      </c>
      <c r="M6" s="3" t="str" cm="1">
        <f t="array" ref="M6">_FV(A6,"Nom")</f>
        <v>WARNER BROS. DISCOVERY, INC.</v>
      </c>
      <c r="O6" s="5"/>
      <c r="P6" s="4" t="s">
        <v>15</v>
      </c>
    </row>
    <row r="7" spans="1:16" ht="15.6" x14ac:dyDescent="0.3">
      <c r="A7" s="27" t="e" vm="6">
        <v>#VALUE!</v>
      </c>
      <c r="B7" s="25" cm="1">
        <f t="array" ref="B7">_FV(A7,"Prix")</f>
        <v>188.45</v>
      </c>
      <c r="C7" s="16">
        <v>500</v>
      </c>
      <c r="D7" s="16">
        <v>170</v>
      </c>
      <c r="E7" s="23">
        <v>0.7</v>
      </c>
      <c r="F7" s="15">
        <f t="shared" si="0"/>
        <v>0.30000000000000004</v>
      </c>
      <c r="G7" s="15">
        <f t="shared" si="1"/>
        <v>1.6532236667551077</v>
      </c>
      <c r="H7" s="15">
        <f t="shared" si="2"/>
        <v>9.7903953303263402E-2</v>
      </c>
      <c r="I7" s="22">
        <v>0.10059158768748337</v>
      </c>
      <c r="J7" s="21">
        <f t="shared" si="3"/>
        <v>6.9684008491505267</v>
      </c>
      <c r="K7" s="20">
        <f t="shared" si="4"/>
        <v>4.1587532979625816</v>
      </c>
      <c r="L7" s="20">
        <f t="shared" si="5"/>
        <v>1.9196300406227271</v>
      </c>
      <c r="M7" s="3" t="str" cm="1">
        <f t="array" ref="M7">_FV(A7,"Nom")</f>
        <v>Nexstar Media</v>
      </c>
    </row>
    <row r="8" spans="1:16" ht="15.6" x14ac:dyDescent="0.3">
      <c r="A8" s="27" t="e" vm="7">
        <v>#VALUE!</v>
      </c>
      <c r="B8" s="25" cm="1">
        <f t="array" ref="B8">_FV(A8,"Prix")</f>
        <v>9.3149999999999995</v>
      </c>
      <c r="C8" s="16">
        <v>40</v>
      </c>
      <c r="D8" s="16">
        <v>6</v>
      </c>
      <c r="E8" s="23">
        <v>0.6</v>
      </c>
      <c r="F8" s="15">
        <f t="shared" si="0"/>
        <v>0.4</v>
      </c>
      <c r="G8" s="15">
        <f t="shared" si="1"/>
        <v>3.294149221685454</v>
      </c>
      <c r="H8" s="15">
        <f t="shared" si="2"/>
        <v>0.35587761674718188</v>
      </c>
      <c r="I8" s="22">
        <v>0.12090756151566447</v>
      </c>
      <c r="J8" s="21">
        <f t="shared" si="3"/>
        <v>1.5645454431506254</v>
      </c>
      <c r="K8" s="20">
        <f t="shared" si="4"/>
        <v>2.1484887952899112</v>
      </c>
      <c r="L8" s="20">
        <f t="shared" si="5"/>
        <v>2.0105442490804961</v>
      </c>
      <c r="M8" s="3" t="str" cm="1">
        <f t="array" ref="M8">_FV(A8,"Nom")</f>
        <v>HARROW HEALTH, INC.</v>
      </c>
    </row>
    <row r="9" spans="1:16" ht="15.6" x14ac:dyDescent="0.3">
      <c r="A9" s="27" t="e" vm="8">
        <v>#VALUE!</v>
      </c>
      <c r="B9" s="25" cm="1">
        <f t="array" ref="B9">_FV(A9,"Prix")</f>
        <v>12.75</v>
      </c>
      <c r="C9" s="16">
        <v>50</v>
      </c>
      <c r="D9" s="16">
        <v>10</v>
      </c>
      <c r="E9" s="23">
        <v>0.6</v>
      </c>
      <c r="F9" s="15">
        <f t="shared" si="0"/>
        <v>0.4</v>
      </c>
      <c r="G9" s="15">
        <f t="shared" si="1"/>
        <v>2.9215686274509802</v>
      </c>
      <c r="H9" s="15">
        <f t="shared" si="2"/>
        <v>0.21568627450980393</v>
      </c>
      <c r="I9" s="22">
        <v>0.1133074011685727</v>
      </c>
      <c r="J9" s="21">
        <f t="shared" si="3"/>
        <v>2.6449054301403292</v>
      </c>
      <c r="K9" s="20">
        <f t="shared" si="4"/>
        <v>2.6165233270838697</v>
      </c>
      <c r="L9" s="20">
        <f t="shared" si="5"/>
        <v>2.0600218073755037</v>
      </c>
      <c r="M9" s="3" t="str" cm="1">
        <f t="array" ref="M9">_FV(A9,"Nom")</f>
        <v>PHI Group</v>
      </c>
    </row>
    <row r="10" spans="1:16" ht="15.6" x14ac:dyDescent="0.3">
      <c r="A10" s="27"/>
      <c r="B10" s="25" t="e" cm="1" vm="9">
        <f t="array" ref="B10">_FV(A10,"Prix")</f>
        <v>#VALUE!</v>
      </c>
      <c r="C10" s="16"/>
      <c r="D10" s="16"/>
      <c r="E10" s="23"/>
      <c r="F10" s="15">
        <f t="shared" si="0"/>
        <v>1</v>
      </c>
      <c r="G10" s="15" t="e" vm="10">
        <f t="shared" si="1"/>
        <v>#VALUE!</v>
      </c>
      <c r="H10" s="15" t="e" vm="10">
        <f t="shared" si="2"/>
        <v>#VALUE!</v>
      </c>
      <c r="I10" s="22"/>
      <c r="J10" s="21" t="e" vm="10">
        <f t="shared" si="3"/>
        <v>#VALUE!</v>
      </c>
      <c r="K10" s="20" t="e" vm="10">
        <f t="shared" si="4"/>
        <v>#VALUE!</v>
      </c>
      <c r="L10" s="20" t="e" vm="10">
        <f t="shared" si="5"/>
        <v>#VALUE!</v>
      </c>
      <c r="M10" s="3" t="e" cm="1" vm="11">
        <f t="array" ref="M10">_FV(A10,"Nom")</f>
        <v>#VALUE!</v>
      </c>
    </row>
    <row r="11" spans="1:16" ht="15.6" x14ac:dyDescent="0.3">
      <c r="A11" s="27"/>
      <c r="B11" s="25" t="e" cm="1" vm="9">
        <f t="array" ref="B11">_FV(A11,"Prix")</f>
        <v>#VALUE!</v>
      </c>
      <c r="C11" s="16"/>
      <c r="D11" s="16"/>
      <c r="E11" s="23"/>
      <c r="F11" s="15">
        <f t="shared" si="0"/>
        <v>1</v>
      </c>
      <c r="G11" s="15" t="e" vm="10">
        <f t="shared" si="1"/>
        <v>#VALUE!</v>
      </c>
      <c r="H11" s="15" t="e" vm="10">
        <f t="shared" si="2"/>
        <v>#VALUE!</v>
      </c>
      <c r="I11" s="22"/>
      <c r="J11" s="21" t="e" vm="10">
        <f t="shared" si="3"/>
        <v>#VALUE!</v>
      </c>
      <c r="K11" s="20" t="e" vm="10">
        <f t="shared" si="4"/>
        <v>#VALUE!</v>
      </c>
      <c r="L11" s="20" t="e" vm="10">
        <f t="shared" si="5"/>
        <v>#VALUE!</v>
      </c>
      <c r="M11" s="3" t="e" cm="1" vm="11">
        <f t="array" ref="M11">_FV(A11,"Nom")</f>
        <v>#VALUE!</v>
      </c>
    </row>
    <row r="12" spans="1:16" ht="15.6" x14ac:dyDescent="0.3">
      <c r="A12" s="27"/>
      <c r="B12" s="25" t="e" cm="1" vm="9">
        <f t="array" ref="B12">_FV(A12,"Prix")</f>
        <v>#VALUE!</v>
      </c>
      <c r="C12" s="16"/>
      <c r="D12" s="16"/>
      <c r="E12" s="23"/>
      <c r="F12" s="15">
        <f t="shared" si="0"/>
        <v>1</v>
      </c>
      <c r="G12" s="15" t="e" vm="10">
        <f t="shared" si="1"/>
        <v>#VALUE!</v>
      </c>
      <c r="H12" s="15" t="e" vm="10">
        <f t="shared" si="2"/>
        <v>#VALUE!</v>
      </c>
      <c r="I12" s="22"/>
      <c r="J12" s="21" t="e" vm="10">
        <f t="shared" si="3"/>
        <v>#VALUE!</v>
      </c>
      <c r="K12" s="20" t="e" vm="10">
        <f t="shared" si="4"/>
        <v>#VALUE!</v>
      </c>
      <c r="L12" s="20" t="e" vm="10">
        <f t="shared" si="5"/>
        <v>#VALUE!</v>
      </c>
      <c r="M12" s="3" t="e" cm="1" vm="11">
        <f t="array" ref="M12">_FV(A12,"Nom")</f>
        <v>#VALUE!</v>
      </c>
    </row>
    <row r="13" spans="1:16" ht="15.6" x14ac:dyDescent="0.3">
      <c r="A13" s="27"/>
      <c r="B13" s="25" t="e" cm="1" vm="9">
        <f t="array" ref="B13">_FV(A13,"Prix")</f>
        <v>#VALUE!</v>
      </c>
      <c r="C13" s="24"/>
      <c r="D13" s="8"/>
      <c r="E13" s="23"/>
      <c r="F13" s="15">
        <f t="shared" si="0"/>
        <v>1</v>
      </c>
      <c r="G13" s="15" t="e" vm="10">
        <f t="shared" si="1"/>
        <v>#VALUE!</v>
      </c>
      <c r="H13" s="15" t="e" vm="10">
        <f t="shared" si="2"/>
        <v>#VALUE!</v>
      </c>
      <c r="I13" s="22"/>
      <c r="J13" s="21" t="e" vm="10">
        <f t="shared" si="3"/>
        <v>#VALUE!</v>
      </c>
      <c r="K13" s="20" t="e" vm="10">
        <f t="shared" si="4"/>
        <v>#VALUE!</v>
      </c>
      <c r="L13" s="20" t="e" vm="10">
        <f t="shared" si="5"/>
        <v>#VALUE!</v>
      </c>
      <c r="M13" s="3" t="e" cm="1" vm="11">
        <f t="array" ref="M13">_FV(A13,"Nom")</f>
        <v>#VALUE!</v>
      </c>
    </row>
    <row r="14" spans="1:16" ht="15.6" x14ac:dyDescent="0.3">
      <c r="A14" s="27"/>
      <c r="B14" s="25" t="e" cm="1" vm="9">
        <f t="array" ref="B14">_FV(A14,"Prix")</f>
        <v>#VALUE!</v>
      </c>
      <c r="C14" s="24"/>
      <c r="D14" s="8"/>
      <c r="E14" s="23"/>
      <c r="F14" s="15">
        <f t="shared" si="0"/>
        <v>1</v>
      </c>
      <c r="G14" s="15" t="e" vm="10">
        <f t="shared" si="1"/>
        <v>#VALUE!</v>
      </c>
      <c r="H14" s="15" t="e" vm="10">
        <f t="shared" si="2"/>
        <v>#VALUE!</v>
      </c>
      <c r="I14" s="22"/>
      <c r="J14" s="21" t="e" vm="10">
        <f t="shared" si="3"/>
        <v>#VALUE!</v>
      </c>
      <c r="K14" s="20" t="e" vm="10">
        <f t="shared" si="4"/>
        <v>#VALUE!</v>
      </c>
      <c r="L14" s="20" t="e" vm="10">
        <f t="shared" si="5"/>
        <v>#VALUE!</v>
      </c>
      <c r="M14" s="3" t="e" cm="1" vm="11">
        <f t="array" ref="M14">_FV(A14,"Nom")</f>
        <v>#VALUE!</v>
      </c>
    </row>
    <row r="15" spans="1:16" ht="15.6" x14ac:dyDescent="0.3">
      <c r="A15" s="27"/>
      <c r="B15" s="25" t="e" cm="1" vm="9">
        <f t="array" ref="B15">_FV(A15,"Prix")</f>
        <v>#VALUE!</v>
      </c>
      <c r="C15" s="24"/>
      <c r="D15" s="8"/>
      <c r="E15" s="23"/>
      <c r="F15" s="15">
        <f t="shared" si="0"/>
        <v>1</v>
      </c>
      <c r="G15" s="15" t="e" vm="10">
        <f t="shared" si="1"/>
        <v>#VALUE!</v>
      </c>
      <c r="H15" s="15" t="e" vm="10">
        <f t="shared" si="2"/>
        <v>#VALUE!</v>
      </c>
      <c r="I15" s="22"/>
      <c r="J15" s="21" t="e" vm="10">
        <f t="shared" si="3"/>
        <v>#VALUE!</v>
      </c>
      <c r="K15" s="20" t="e" vm="10">
        <f t="shared" si="4"/>
        <v>#VALUE!</v>
      </c>
      <c r="L15" s="20" t="e" vm="10">
        <f t="shared" si="5"/>
        <v>#VALUE!</v>
      </c>
      <c r="M15" s="3" t="e" cm="1" vm="11">
        <f t="array" ref="M15">_FV(A15,"Nom")</f>
        <v>#VALUE!</v>
      </c>
    </row>
    <row r="16" spans="1:16" ht="15.6" x14ac:dyDescent="0.3">
      <c r="A16" s="27"/>
      <c r="B16" s="25" t="e" cm="1" vm="9">
        <f t="array" ref="B16">_FV(A16,"Prix")</f>
        <v>#VALUE!</v>
      </c>
      <c r="C16" s="24"/>
      <c r="D16" s="8"/>
      <c r="E16" s="23"/>
      <c r="F16" s="15">
        <f t="shared" si="0"/>
        <v>1</v>
      </c>
      <c r="G16" s="15" t="e" vm="10">
        <f t="shared" si="1"/>
        <v>#VALUE!</v>
      </c>
      <c r="H16" s="15" t="e" vm="10">
        <f t="shared" si="2"/>
        <v>#VALUE!</v>
      </c>
      <c r="I16" s="22"/>
      <c r="J16" s="21" t="e" vm="10">
        <f t="shared" si="3"/>
        <v>#VALUE!</v>
      </c>
      <c r="K16" s="20" t="e" vm="10">
        <f t="shared" si="4"/>
        <v>#VALUE!</v>
      </c>
      <c r="L16" s="20" t="e" vm="10">
        <f t="shared" si="5"/>
        <v>#VALUE!</v>
      </c>
      <c r="M16" s="3" t="e" cm="1" vm="11">
        <f t="array" ref="M16">_FV(A16,"Nom")</f>
        <v>#VALUE!</v>
      </c>
    </row>
    <row r="17" spans="1:13" ht="15.6" x14ac:dyDescent="0.3">
      <c r="A17" s="27"/>
      <c r="B17" s="25" t="e" cm="1" vm="9">
        <f t="array" ref="B17">_FV(A17,"Prix")</f>
        <v>#VALUE!</v>
      </c>
      <c r="C17" s="24"/>
      <c r="D17" s="8"/>
      <c r="E17" s="23"/>
      <c r="F17" s="15">
        <f t="shared" si="0"/>
        <v>1</v>
      </c>
      <c r="G17" s="15" t="e" vm="10">
        <f t="shared" si="1"/>
        <v>#VALUE!</v>
      </c>
      <c r="H17" s="15" t="e" vm="10">
        <f t="shared" si="2"/>
        <v>#VALUE!</v>
      </c>
      <c r="I17" s="22"/>
      <c r="J17" s="21" t="e" vm="10">
        <f t="shared" si="3"/>
        <v>#VALUE!</v>
      </c>
      <c r="K17" s="20" t="e" vm="10">
        <f t="shared" si="4"/>
        <v>#VALUE!</v>
      </c>
      <c r="L17" s="20" t="e" vm="10">
        <f t="shared" si="5"/>
        <v>#VALUE!</v>
      </c>
      <c r="M17" s="3" t="e" cm="1" vm="11">
        <f t="array" ref="M17">_FV(A17,"Nom")</f>
        <v>#VALUE!</v>
      </c>
    </row>
    <row r="18" spans="1:13" ht="15.6" x14ac:dyDescent="0.3">
      <c r="A18" s="27"/>
      <c r="B18" s="25" t="e" cm="1" vm="9">
        <f t="array" ref="B18">_FV(A18,"Prix")</f>
        <v>#VALUE!</v>
      </c>
      <c r="C18" s="24"/>
      <c r="D18" s="8"/>
      <c r="E18" s="23"/>
      <c r="F18" s="15">
        <f t="shared" si="0"/>
        <v>1</v>
      </c>
      <c r="G18" s="15" t="e" vm="10">
        <f t="shared" si="1"/>
        <v>#VALUE!</v>
      </c>
      <c r="H18" s="15" t="e" vm="10">
        <f t="shared" si="2"/>
        <v>#VALUE!</v>
      </c>
      <c r="I18" s="22"/>
      <c r="J18" s="21" t="e" vm="10">
        <f t="shared" si="3"/>
        <v>#VALUE!</v>
      </c>
      <c r="K18" s="20" t="e" vm="10">
        <f t="shared" si="4"/>
        <v>#VALUE!</v>
      </c>
      <c r="L18" s="20" t="e" vm="10">
        <f t="shared" si="5"/>
        <v>#VALUE!</v>
      </c>
      <c r="M18" s="3" t="e" cm="1" vm="11">
        <f t="array" ref="M18">_FV(A18,"Nom")</f>
        <v>#VALUE!</v>
      </c>
    </row>
    <row r="19" spans="1:13" ht="15.6" x14ac:dyDescent="0.3">
      <c r="A19" s="27"/>
      <c r="B19" s="25" t="e" cm="1" vm="9">
        <f t="array" ref="B19">_FV(A19,"Prix")</f>
        <v>#VALUE!</v>
      </c>
      <c r="C19" s="24"/>
      <c r="D19" s="8"/>
      <c r="E19" s="23"/>
      <c r="F19" s="15">
        <f t="shared" si="0"/>
        <v>1</v>
      </c>
      <c r="G19" s="15" t="e" vm="10">
        <f t="shared" si="1"/>
        <v>#VALUE!</v>
      </c>
      <c r="H19" s="15" t="e" vm="10">
        <f t="shared" si="2"/>
        <v>#VALUE!</v>
      </c>
      <c r="I19" s="22"/>
      <c r="J19" s="21" t="e" vm="10">
        <f t="shared" si="3"/>
        <v>#VALUE!</v>
      </c>
      <c r="K19" s="20" t="e" vm="10">
        <f t="shared" si="4"/>
        <v>#VALUE!</v>
      </c>
      <c r="L19" s="20" t="e" vm="10">
        <f t="shared" si="5"/>
        <v>#VALUE!</v>
      </c>
      <c r="M19" s="3" t="e" cm="1" vm="11">
        <f t="array" ref="M19">_FV(A19,"Nom")</f>
        <v>#VALUE!</v>
      </c>
    </row>
    <row r="20" spans="1:13" ht="15.6" x14ac:dyDescent="0.3">
      <c r="A20" s="27"/>
      <c r="B20" s="25" t="e" cm="1" vm="9">
        <f t="array" ref="B20">_FV(A20,"Prix")</f>
        <v>#VALUE!</v>
      </c>
      <c r="C20" s="24"/>
      <c r="D20" s="8"/>
      <c r="E20" s="23"/>
      <c r="F20" s="15">
        <f t="shared" si="0"/>
        <v>1</v>
      </c>
      <c r="G20" s="15" t="e" vm="10">
        <f t="shared" si="1"/>
        <v>#VALUE!</v>
      </c>
      <c r="H20" s="15" t="e" vm="10">
        <f t="shared" si="2"/>
        <v>#VALUE!</v>
      </c>
      <c r="I20" s="22"/>
      <c r="J20" s="21" t="e" vm="10">
        <f t="shared" si="3"/>
        <v>#VALUE!</v>
      </c>
      <c r="K20" s="20" t="e" vm="10">
        <f t="shared" si="4"/>
        <v>#VALUE!</v>
      </c>
      <c r="L20" s="20" t="e" vm="10">
        <f t="shared" si="5"/>
        <v>#VALUE!</v>
      </c>
      <c r="M20" s="3" t="e" cm="1" vm="11">
        <f t="array" ref="M20">_FV(A20,"Nom")</f>
        <v>#VALUE!</v>
      </c>
    </row>
    <row r="21" spans="1:13" ht="15.6" x14ac:dyDescent="0.3">
      <c r="A21" s="26"/>
      <c r="B21" s="25" t="e" cm="1" vm="9">
        <f t="array" ref="B21">_FV(A21,"Prix")</f>
        <v>#VALUE!</v>
      </c>
      <c r="C21" s="24"/>
      <c r="D21" s="8"/>
      <c r="E21" s="23"/>
      <c r="F21" s="15">
        <f t="shared" si="0"/>
        <v>1</v>
      </c>
      <c r="G21" s="15" t="e" vm="10">
        <f t="shared" si="1"/>
        <v>#VALUE!</v>
      </c>
      <c r="H21" s="15" t="e" vm="10">
        <f t="shared" si="2"/>
        <v>#VALUE!</v>
      </c>
      <c r="I21" s="22"/>
      <c r="J21" s="21" t="e" vm="10">
        <f t="shared" si="3"/>
        <v>#VALUE!</v>
      </c>
      <c r="K21" s="20" t="e" vm="10">
        <f t="shared" si="4"/>
        <v>#VALUE!</v>
      </c>
      <c r="L21" s="20" t="e" vm="10">
        <f t="shared" si="5"/>
        <v>#VALUE!</v>
      </c>
      <c r="M21" s="3" t="e" cm="1" vm="11">
        <f t="array" ref="M21">_FV(A21,"Nom")</f>
        <v>#VALUE!</v>
      </c>
    </row>
    <row r="22" spans="1:13" x14ac:dyDescent="0.25">
      <c r="I22" s="19"/>
      <c r="J22" s="19"/>
      <c r="K22" s="18"/>
      <c r="L22" s="11"/>
    </row>
    <row r="23" spans="1:13" ht="15.6" x14ac:dyDescent="0.3">
      <c r="A23" s="32" t="s">
        <v>30</v>
      </c>
      <c r="B23" s="33">
        <f>COUNT(B2:B21)</f>
        <v>8</v>
      </c>
      <c r="L23" s="11"/>
    </row>
    <row r="24" spans="1:13" ht="15.6" x14ac:dyDescent="0.3">
      <c r="A24" s="32" t="s">
        <v>31</v>
      </c>
      <c r="B24" s="8">
        <v>2</v>
      </c>
      <c r="L24" s="11"/>
    </row>
    <row r="25" spans="1:13" ht="15.6" x14ac:dyDescent="0.3">
      <c r="A25" s="32" t="s">
        <v>35</v>
      </c>
      <c r="B25" s="34">
        <v>1.6548246964734488</v>
      </c>
      <c r="G25" s="13"/>
      <c r="L25" s="11"/>
    </row>
    <row r="26" spans="1:13" ht="15.6" x14ac:dyDescent="0.3">
      <c r="A26" s="32" t="s">
        <v>36</v>
      </c>
      <c r="B26" s="35">
        <v>0.12146076050512732</v>
      </c>
      <c r="G26" s="13"/>
      <c r="L26" s="11"/>
    </row>
    <row r="27" spans="1:13" ht="15.6" x14ac:dyDescent="0.3">
      <c r="A27" s="32" t="s">
        <v>29</v>
      </c>
      <c r="B27" s="16">
        <v>7</v>
      </c>
      <c r="G27" s="13"/>
      <c r="L27" s="11"/>
    </row>
    <row r="28" spans="1:13" ht="15.6" x14ac:dyDescent="0.3">
      <c r="A28" s="32" t="s">
        <v>32</v>
      </c>
      <c r="B28" s="23">
        <v>1</v>
      </c>
      <c r="G28" s="13"/>
      <c r="L28" s="11"/>
    </row>
    <row r="29" spans="1:13" ht="15.6" x14ac:dyDescent="0.3">
      <c r="A29" s="32" t="s">
        <v>33</v>
      </c>
      <c r="B29" s="14">
        <v>0.2</v>
      </c>
      <c r="G29" s="13"/>
      <c r="L29" s="11"/>
    </row>
    <row r="30" spans="1:13" ht="15.6" x14ac:dyDescent="0.3">
      <c r="A30" s="32" t="s">
        <v>19</v>
      </c>
      <c r="B30" s="17">
        <v>1</v>
      </c>
      <c r="H30" s="12"/>
      <c r="L30" s="11"/>
    </row>
    <row r="31" spans="1:13" x14ac:dyDescent="0.25">
      <c r="J31" s="10"/>
    </row>
  </sheetData>
  <conditionalFormatting sqref="G2:G21">
    <cfRule type="dataBar" priority="5">
      <dataBar>
        <cfvo type="min"/>
        <cfvo type="max"/>
        <color rgb="FF638EC6"/>
      </dataBar>
      <extLst>
        <ext xmlns:x14="http://schemas.microsoft.com/office/spreadsheetml/2009/9/main" uri="{B025F937-C7B1-47D3-B67F-A62EFF666E3E}">
          <x14:id>{59298E7C-FC97-4D20-856E-08244CBDBCE9}</x14:id>
        </ext>
      </extLst>
    </cfRule>
  </conditionalFormatting>
  <conditionalFormatting sqref="H2:H21">
    <cfRule type="dataBar" priority="2">
      <dataBar>
        <cfvo type="min"/>
        <cfvo type="max"/>
        <color rgb="FF638EC6"/>
      </dataBar>
      <extLst>
        <ext xmlns:x14="http://schemas.microsoft.com/office/spreadsheetml/2009/9/main" uri="{B025F937-C7B1-47D3-B67F-A62EFF666E3E}">
          <x14:id>{27BB4B75-E78D-4BC2-BF4F-6080994B4ED1}</x14:id>
        </ext>
      </extLst>
    </cfRule>
    <cfRule type="dataBar" priority="3">
      <dataBar>
        <cfvo type="min"/>
        <cfvo type="max"/>
        <color rgb="FF638EC6"/>
      </dataBar>
      <extLst>
        <ext xmlns:x14="http://schemas.microsoft.com/office/spreadsheetml/2009/9/main" uri="{B025F937-C7B1-47D3-B67F-A62EFF666E3E}">
          <x14:id>{70F0FF23-F582-4484-8E6F-A4BCB2A411A5}</x14:id>
        </ext>
      </extLst>
    </cfRule>
  </conditionalFormatting>
  <conditionalFormatting sqref="I2:I21">
    <cfRule type="dataBar" priority="1">
      <dataBar>
        <cfvo type="min"/>
        <cfvo type="max"/>
        <color rgb="FF638EC6"/>
      </dataBar>
      <extLst>
        <ext xmlns:x14="http://schemas.microsoft.com/office/spreadsheetml/2009/9/main" uri="{B025F937-C7B1-47D3-B67F-A62EFF666E3E}">
          <x14:id>{1BE44D09-5C20-474F-873C-5BCA41598B65}</x14:id>
        </ext>
      </extLst>
    </cfRule>
  </conditionalFormatting>
  <pageMargins left="0.7" right="0.7" top="0.75" bottom="0.75" header="0.3" footer="0.3"/>
  <pageSetup orientation="portrait" r:id="rId1"/>
  <ignoredErrors>
    <ignoredError sqref="B2 B15:B2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29</xdr:row>
                    <xdr:rowOff>129540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9298E7C-FC97-4D20-856E-08244CBDBCE9}">
            <x14:dataBar minLength="0" maxLength="100" gradient="0">
              <x14:cfvo type="autoMin"/>
              <x14:cfvo type="autoMax"/>
              <x14:negativeFillColor rgb="FFFF0000"/>
              <x14:axisColor rgb="FF000000"/>
            </x14:dataBar>
          </x14:cfRule>
          <xm:sqref>G2:G21</xm:sqref>
        </x14:conditionalFormatting>
        <x14:conditionalFormatting xmlns:xm="http://schemas.microsoft.com/office/excel/2006/main">
          <x14:cfRule type="dataBar" id="{27BB4B75-E78D-4BC2-BF4F-6080994B4ED1}">
            <x14:dataBar minLength="0" maxLength="100" gradient="0" negativeBarColorSameAsPositive="1">
              <x14:cfvo type="autoMin"/>
              <x14:cfvo type="autoMax"/>
              <x14:axisColor rgb="FF000000"/>
            </x14:dataBar>
          </x14:cfRule>
          <x14:cfRule type="dataBar" id="{70F0FF23-F582-4484-8E6F-A4BCB2A411A5}">
            <x14:dataBar minLength="0" maxLength="100" gradient="0">
              <x14:cfvo type="autoMin"/>
              <x14:cfvo type="autoMax"/>
              <x14:negativeFillColor rgb="FFFF0000"/>
              <x14:axisColor rgb="FF000000"/>
            </x14:dataBar>
          </x14:cfRule>
          <xm:sqref>H2:H21</xm:sqref>
        </x14:conditionalFormatting>
        <x14:conditionalFormatting xmlns:xm="http://schemas.microsoft.com/office/excel/2006/main">
          <x14:cfRule type="dataBar" id="{1BE44D09-5C20-474F-873C-5BCA41598B65}">
            <x14:dataBar minLength="0" maxLength="100" gradient="0">
              <x14:cfvo type="autoMin"/>
              <x14:cfvo type="autoMax"/>
              <x14:negativeFillColor rgb="FFFF0000"/>
              <x14:axisColor rgb="FF000000"/>
            </x14:dataBar>
          </x14:cfRule>
          <xm:sqref>I2:I21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x14ac:dyDescent="0.3"/>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x14ac:dyDescent="0.3"/>
  <cols>
    <col min="1" max="1" width="14.69921875" style="1" customWidth="1"/>
    <col min="2" max="2" width="9.19921875" style="1" customWidth="1"/>
    <col min="3" max="16384" width="8.8984375" style="1"/>
  </cols>
  <sheetData>
    <row r="1" spans="1:2" x14ac:dyDescent="0.3">
      <c r="A1" s="1" t="s">
        <v>8</v>
      </c>
      <c r="B1" s="1" t="s">
        <v>13</v>
      </c>
    </row>
    <row r="2" spans="1:2" x14ac:dyDescent="0.3">
      <c r="A2" s="1" t="s">
        <v>9</v>
      </c>
    </row>
    <row r="3" spans="1:2" x14ac:dyDescent="0.3">
      <c r="A3" s="1" t="s">
        <v>0</v>
      </c>
    </row>
    <row r="4" spans="1:2" x14ac:dyDescent="0.3">
      <c r="A4" s="1" t="s">
        <v>7</v>
      </c>
    </row>
    <row r="5" spans="1:2" x14ac:dyDescent="0.3">
      <c r="A5" s="1" t="s">
        <v>5</v>
      </c>
    </row>
    <row r="6" spans="1:2" x14ac:dyDescent="0.3">
      <c r="A6" s="1" t="s">
        <v>1</v>
      </c>
    </row>
    <row r="7" spans="1:2" x14ac:dyDescent="0.3">
      <c r="A7" s="1" t="s">
        <v>2</v>
      </c>
      <c r="B7" s="1" t="b">
        <v>0</v>
      </c>
    </row>
    <row r="8" spans="1:2" x14ac:dyDescent="0.3">
      <c r="A8" s="1" t="s">
        <v>3</v>
      </c>
      <c r="B8" s="1" t="b">
        <v>0</v>
      </c>
    </row>
    <row r="9" spans="1:2" x14ac:dyDescent="0.3">
      <c r="A9" s="1" t="s">
        <v>12</v>
      </c>
      <c r="B9" s="1" t="b">
        <v>0</v>
      </c>
    </row>
    <row r="13" spans="1:2" x14ac:dyDescent="0.3">
      <c r="A13" s="2" t="s">
        <v>4</v>
      </c>
    </row>
    <row r="14" spans="1:2" x14ac:dyDescent="0.3">
      <c r="A14" s="1" t="s">
        <v>10</v>
      </c>
    </row>
    <row r="15" spans="1:2" x14ac:dyDescent="0.3">
      <c r="A15" s="1" t="s">
        <v>14</v>
      </c>
    </row>
    <row r="16" spans="1:2" x14ac:dyDescent="0.3">
      <c r="A16" s="1" t="s">
        <v>6</v>
      </c>
    </row>
    <row r="17" spans="1:1" x14ac:dyDescent="0.3">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 (SE GP I PR TI PTS GTT)</cp:lastModifiedBy>
  <dcterms:created xsi:type="dcterms:W3CDTF">2015-01-25T11:31:25Z</dcterms:created>
  <dcterms:modified xsi:type="dcterms:W3CDTF">2022-09-14T18:40:32Z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2022-09-10T15:47:33Z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09abecea-de2b-4186-865a-c956f4134496</vt:lpwstr>
  </property>
  <property fmtid="{D5CDD505-2E9C-101B-9397-08002B2CF9AE}" pid="8" name="MSIP_Label_36791f77-3d39-4d72-9277-ac879ec799ed_ContentBits">
    <vt:lpwstr>0</vt:lpwstr>
  </property>
</Properties>
</file>